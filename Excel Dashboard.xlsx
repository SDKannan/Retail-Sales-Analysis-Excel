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back up\Aptitude+Excel\"/>
    </mc:Choice>
  </mc:AlternateContent>
  <xr:revisionPtr revIDLastSave="0" documentId="13_ncr:1_{F8A049FB-7F60-4645-80A5-1E3D0AFBC7A8}" xr6:coauthVersionLast="47" xr6:coauthVersionMax="47" xr10:uidLastSave="{00000000-0000-0000-0000-000000000000}"/>
  <bookViews>
    <workbookView xWindow="-110" yWindow="-110" windowWidth="19420" windowHeight="10300" activeTab="3" xr2:uid="{00000000-000D-0000-FFFF-FFFF00000000}"/>
  </bookViews>
  <sheets>
    <sheet name="Sales_Data" sheetId="1" r:id="rId1"/>
    <sheet name="Pivot Sales" sheetId="9" r:id="rId2"/>
    <sheet name="Pivot Return" sheetId="13" r:id="rId3"/>
    <sheet name="Dashboard" sheetId="14" r:id="rId4"/>
  </sheets>
  <definedNames>
    <definedName name="_xlnm._FilterDatabase" localSheetId="0" hidden="1">Sales_Data!$A$1:$Q$1</definedName>
    <definedName name="Slicer_Category">#N/A</definedName>
    <definedName name="Slicer_Category1">#N/A</definedName>
    <definedName name="Slicer_Product">#N/A</definedName>
    <definedName name="Slicer_Product1">#N/A</definedName>
    <definedName name="Slicer_Region">#N/A</definedName>
    <definedName name="Slicer_Region1">#N/A</definedName>
    <definedName name="Slicer_Return_Reas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T15" i="1"/>
  <c r="N56" i="1"/>
  <c r="N166" i="1"/>
  <c r="N201" i="1"/>
  <c r="N135" i="1"/>
  <c r="N9" i="1"/>
  <c r="N20" i="1"/>
  <c r="N196" i="1"/>
  <c r="N62" i="1"/>
  <c r="N34" i="1"/>
  <c r="N101" i="1"/>
  <c r="N38" i="1"/>
  <c r="N168" i="1"/>
  <c r="N125" i="1"/>
  <c r="N48" i="1"/>
  <c r="N86" i="1"/>
  <c r="N77" i="1"/>
  <c r="N112" i="1"/>
  <c r="N147" i="1"/>
  <c r="N151" i="1"/>
  <c r="N156" i="1"/>
  <c r="N105" i="1"/>
  <c r="N144" i="1"/>
  <c r="N177" i="1"/>
  <c r="N178" i="1"/>
  <c r="N39" i="1"/>
  <c r="N41" i="1"/>
  <c r="N27" i="1"/>
  <c r="N136" i="1"/>
  <c r="N43" i="1"/>
  <c r="N123" i="1"/>
  <c r="N187" i="1"/>
  <c r="N132" i="1"/>
  <c r="N16" i="1"/>
  <c r="N154" i="1"/>
  <c r="N183" i="1"/>
  <c r="N100" i="1"/>
  <c r="N176" i="1"/>
  <c r="N158" i="1"/>
  <c r="N121" i="1"/>
  <c r="N87" i="1"/>
  <c r="N6" i="1"/>
  <c r="N161" i="1"/>
  <c r="N110" i="1"/>
  <c r="N142" i="1"/>
  <c r="N31" i="1"/>
  <c r="N114" i="1"/>
  <c r="N179" i="1"/>
  <c r="N195" i="1"/>
  <c r="N47" i="1"/>
  <c r="N103" i="1"/>
  <c r="N107" i="1"/>
  <c r="N96" i="1"/>
  <c r="N115" i="1"/>
  <c r="N159" i="1"/>
  <c r="N189" i="1"/>
  <c r="N113" i="1"/>
  <c r="N118" i="1"/>
  <c r="N153" i="1"/>
  <c r="N60" i="1"/>
  <c r="N150" i="1"/>
  <c r="N7" i="1"/>
  <c r="N186" i="1"/>
  <c r="N191" i="1"/>
  <c r="N61" i="1"/>
  <c r="N21" i="1"/>
  <c r="N124" i="1"/>
  <c r="N44" i="1"/>
  <c r="N165" i="1"/>
  <c r="N200" i="1"/>
  <c r="N45" i="1"/>
  <c r="N129" i="1"/>
  <c r="N139" i="1"/>
  <c r="N137" i="1"/>
  <c r="N127" i="1"/>
  <c r="N172" i="1"/>
  <c r="N157" i="1"/>
  <c r="N67" i="1"/>
  <c r="N15" i="1"/>
  <c r="N75" i="1"/>
  <c r="N104" i="1"/>
  <c r="N17" i="1"/>
  <c r="N22" i="1"/>
  <c r="N198" i="1"/>
  <c r="N160" i="1"/>
  <c r="N120" i="1"/>
  <c r="N106" i="1"/>
  <c r="N162" i="1"/>
  <c r="N10" i="1"/>
  <c r="N163" i="1"/>
  <c r="N99" i="1"/>
  <c r="N53" i="1"/>
  <c r="N59" i="1"/>
  <c r="N170" i="1"/>
  <c r="N133" i="1"/>
  <c r="N88" i="1"/>
  <c r="N192" i="1"/>
  <c r="N8" i="1"/>
  <c r="N54" i="1"/>
  <c r="N2" i="1"/>
  <c r="N5" i="1"/>
  <c r="N98" i="1"/>
  <c r="N140" i="1"/>
  <c r="N12" i="1"/>
  <c r="N29" i="1"/>
  <c r="N128" i="1"/>
  <c r="N108" i="1"/>
  <c r="N42" i="1"/>
  <c r="N28" i="1"/>
  <c r="N65" i="1"/>
  <c r="N23" i="1"/>
  <c r="N148" i="1"/>
  <c r="N169" i="1"/>
  <c r="N90" i="1"/>
  <c r="N164" i="1"/>
  <c r="N25" i="1"/>
  <c r="N49" i="1"/>
  <c r="N145" i="1"/>
  <c r="N76" i="1"/>
  <c r="N13" i="1"/>
  <c r="N72" i="1"/>
  <c r="N180" i="1"/>
  <c r="N131" i="1"/>
  <c r="N58" i="1"/>
  <c r="N3" i="1"/>
  <c r="N82" i="1"/>
  <c r="N79" i="1"/>
  <c r="N36" i="1"/>
  <c r="N14" i="1"/>
  <c r="N85" i="1"/>
  <c r="N69" i="1"/>
  <c r="N91" i="1"/>
  <c r="N155" i="1"/>
  <c r="N46" i="1"/>
  <c r="N134" i="1"/>
  <c r="N141" i="1"/>
  <c r="N122" i="1"/>
  <c r="N78" i="1"/>
  <c r="N84" i="1"/>
  <c r="N32" i="1"/>
  <c r="N181" i="1"/>
  <c r="N89" i="1"/>
  <c r="N63" i="1"/>
  <c r="N94" i="1"/>
  <c r="N109" i="1"/>
  <c r="N68" i="1"/>
  <c r="N138" i="1"/>
  <c r="N24" i="1"/>
  <c r="N70" i="1"/>
  <c r="N64" i="1"/>
  <c r="N19" i="1"/>
  <c r="N97" i="1"/>
  <c r="N185" i="1"/>
  <c r="N30" i="1"/>
  <c r="N4" i="1"/>
  <c r="N193" i="1"/>
  <c r="N92" i="1"/>
  <c r="N146" i="1"/>
  <c r="N111" i="1"/>
  <c r="N184" i="1"/>
  <c r="N130" i="1"/>
  <c r="N116" i="1"/>
  <c r="N95" i="1"/>
  <c r="N182" i="1"/>
  <c r="N149" i="1"/>
  <c r="N11" i="1"/>
  <c r="N143" i="1"/>
  <c r="N171" i="1"/>
  <c r="N199" i="1"/>
  <c r="N74" i="1"/>
  <c r="N26" i="1"/>
  <c r="N194" i="1"/>
  <c r="N152" i="1"/>
  <c r="N117" i="1"/>
  <c r="N18" i="1"/>
  <c r="N80" i="1"/>
  <c r="N35" i="1"/>
  <c r="N167" i="1"/>
  <c r="N83" i="1"/>
  <c r="N66" i="1"/>
  <c r="N57" i="1"/>
  <c r="N52" i="1"/>
  <c r="N71" i="1"/>
  <c r="N190" i="1"/>
  <c r="N188" i="1"/>
  <c r="N81" i="1"/>
  <c r="N173" i="1"/>
  <c r="N55" i="1"/>
  <c r="N197" i="1"/>
  <c r="N174" i="1"/>
  <c r="N73" i="1"/>
  <c r="N102" i="1"/>
  <c r="N50" i="1"/>
  <c r="N126" i="1"/>
  <c r="N40" i="1"/>
  <c r="N33" i="1"/>
  <c r="N51" i="1"/>
  <c r="N93" i="1"/>
  <c r="N175" i="1"/>
  <c r="N119" i="1"/>
  <c r="N37" i="1"/>
  <c r="M56" i="1"/>
  <c r="M166" i="1"/>
  <c r="M201" i="1"/>
  <c r="M135" i="1"/>
  <c r="M9" i="1"/>
  <c r="M20" i="1"/>
  <c r="M196" i="1"/>
  <c r="M62" i="1"/>
  <c r="M34" i="1"/>
  <c r="M101" i="1"/>
  <c r="M38" i="1"/>
  <c r="M168" i="1"/>
  <c r="M125" i="1"/>
  <c r="M48" i="1"/>
  <c r="M86" i="1"/>
  <c r="M77" i="1"/>
  <c r="M112" i="1"/>
  <c r="M147" i="1"/>
  <c r="M151" i="1"/>
  <c r="M156" i="1"/>
  <c r="M105" i="1"/>
  <c r="M144" i="1"/>
  <c r="M177" i="1"/>
  <c r="M178" i="1"/>
  <c r="M39" i="1"/>
  <c r="M41" i="1"/>
  <c r="M27" i="1"/>
  <c r="M136" i="1"/>
  <c r="M43" i="1"/>
  <c r="M123" i="1"/>
  <c r="M187" i="1"/>
  <c r="M132" i="1"/>
  <c r="M16" i="1"/>
  <c r="M154" i="1"/>
  <c r="M183" i="1"/>
  <c r="M100" i="1"/>
  <c r="M176" i="1"/>
  <c r="M158" i="1"/>
  <c r="M121" i="1"/>
  <c r="M87" i="1"/>
  <c r="M6" i="1"/>
  <c r="M161" i="1"/>
  <c r="M110" i="1"/>
  <c r="M142" i="1"/>
  <c r="M31" i="1"/>
  <c r="M114" i="1"/>
  <c r="M179" i="1"/>
  <c r="M195" i="1"/>
  <c r="M47" i="1"/>
  <c r="M103" i="1"/>
  <c r="M107" i="1"/>
  <c r="M96" i="1"/>
  <c r="M115" i="1"/>
  <c r="M159" i="1"/>
  <c r="M189" i="1"/>
  <c r="M113" i="1"/>
  <c r="M118" i="1"/>
  <c r="M153" i="1"/>
  <c r="M60" i="1"/>
  <c r="M150" i="1"/>
  <c r="M7" i="1"/>
  <c r="M186" i="1"/>
  <c r="M191" i="1"/>
  <c r="M61" i="1"/>
  <c r="M21" i="1"/>
  <c r="M124" i="1"/>
  <c r="M44" i="1"/>
  <c r="M165" i="1"/>
  <c r="M200" i="1"/>
  <c r="M45" i="1"/>
  <c r="M129" i="1"/>
  <c r="M139" i="1"/>
  <c r="M137" i="1"/>
  <c r="M127" i="1"/>
  <c r="M172" i="1"/>
  <c r="M157" i="1"/>
  <c r="M67" i="1"/>
  <c r="M15" i="1"/>
  <c r="M75" i="1"/>
  <c r="M104" i="1"/>
  <c r="M17" i="1"/>
  <c r="M22" i="1"/>
  <c r="M198" i="1"/>
  <c r="M160" i="1"/>
  <c r="M120" i="1"/>
  <c r="M106" i="1"/>
  <c r="M162" i="1"/>
  <c r="M10" i="1"/>
  <c r="M163" i="1"/>
  <c r="M99" i="1"/>
  <c r="M53" i="1"/>
  <c r="M59" i="1"/>
  <c r="M170" i="1"/>
  <c r="M133" i="1"/>
  <c r="M88" i="1"/>
  <c r="M192" i="1"/>
  <c r="M8" i="1"/>
  <c r="M54" i="1"/>
  <c r="M2" i="1"/>
  <c r="M5" i="1"/>
  <c r="M98" i="1"/>
  <c r="M140" i="1"/>
  <c r="M12" i="1"/>
  <c r="M29" i="1"/>
  <c r="M128" i="1"/>
  <c r="M108" i="1"/>
  <c r="M42" i="1"/>
  <c r="M28" i="1"/>
  <c r="M65" i="1"/>
  <c r="M23" i="1"/>
  <c r="M148" i="1"/>
  <c r="M169" i="1"/>
  <c r="M90" i="1"/>
  <c r="M164" i="1"/>
  <c r="M25" i="1"/>
  <c r="M49" i="1"/>
  <c r="M145" i="1"/>
  <c r="M76" i="1"/>
  <c r="M13" i="1"/>
  <c r="M72" i="1"/>
  <c r="M180" i="1"/>
  <c r="M131" i="1"/>
  <c r="M58" i="1"/>
  <c r="M3" i="1"/>
  <c r="M82" i="1"/>
  <c r="M79" i="1"/>
  <c r="M36" i="1"/>
  <c r="M14" i="1"/>
  <c r="M85" i="1"/>
  <c r="M69" i="1"/>
  <c r="M91" i="1"/>
  <c r="M155" i="1"/>
  <c r="M46" i="1"/>
  <c r="M134" i="1"/>
  <c r="M141" i="1"/>
  <c r="M122" i="1"/>
  <c r="M78" i="1"/>
  <c r="M84" i="1"/>
  <c r="M32" i="1"/>
  <c r="M181" i="1"/>
  <c r="M89" i="1"/>
  <c r="M63" i="1"/>
  <c r="M94" i="1"/>
  <c r="M109" i="1"/>
  <c r="M68" i="1"/>
  <c r="M138" i="1"/>
  <c r="M24" i="1"/>
  <c r="M70" i="1"/>
  <c r="M64" i="1"/>
  <c r="M19" i="1"/>
  <c r="M97" i="1"/>
  <c r="M185" i="1"/>
  <c r="M30" i="1"/>
  <c r="M4" i="1"/>
  <c r="M193" i="1"/>
  <c r="M92" i="1"/>
  <c r="M146" i="1"/>
  <c r="M111" i="1"/>
  <c r="M184" i="1"/>
  <c r="M130" i="1"/>
  <c r="M116" i="1"/>
  <c r="M95" i="1"/>
  <c r="M182" i="1"/>
  <c r="M149" i="1"/>
  <c r="M11" i="1"/>
  <c r="M143" i="1"/>
  <c r="M171" i="1"/>
  <c r="M199" i="1"/>
  <c r="M74" i="1"/>
  <c r="M26" i="1"/>
  <c r="M194" i="1"/>
  <c r="M152" i="1"/>
  <c r="M117" i="1"/>
  <c r="M18" i="1"/>
  <c r="M80" i="1"/>
  <c r="M35" i="1"/>
  <c r="M167" i="1"/>
  <c r="M83" i="1"/>
  <c r="M66" i="1"/>
  <c r="M57" i="1"/>
  <c r="M52" i="1"/>
  <c r="M71" i="1"/>
  <c r="M190" i="1"/>
  <c r="M188" i="1"/>
  <c r="M81" i="1"/>
  <c r="M173" i="1"/>
  <c r="M55" i="1"/>
  <c r="M197" i="1"/>
  <c r="M174" i="1"/>
  <c r="M73" i="1"/>
  <c r="M102" i="1"/>
  <c r="M50" i="1"/>
  <c r="M126" i="1"/>
  <c r="M40" i="1"/>
  <c r="M33" i="1"/>
  <c r="M51" i="1"/>
  <c r="M93" i="1"/>
  <c r="M175" i="1"/>
  <c r="M119" i="1"/>
  <c r="M37" i="1"/>
  <c r="J56" i="1"/>
  <c r="L56" i="1" s="1"/>
  <c r="P56" i="1" s="1"/>
  <c r="J166" i="1"/>
  <c r="J201" i="1"/>
  <c r="L201" i="1" s="1"/>
  <c r="P201" i="1" s="1"/>
  <c r="J135" i="1"/>
  <c r="L135" i="1" s="1"/>
  <c r="P135" i="1" s="1"/>
  <c r="J9" i="1"/>
  <c r="L9" i="1" s="1"/>
  <c r="P9" i="1" s="1"/>
  <c r="J20" i="1"/>
  <c r="L20" i="1" s="1"/>
  <c r="R20" i="1" s="1"/>
  <c r="J196" i="1"/>
  <c r="L196" i="1" s="1"/>
  <c r="R196" i="1" s="1"/>
  <c r="J62" i="1"/>
  <c r="L62" i="1" s="1"/>
  <c r="R62" i="1" s="1"/>
  <c r="J34" i="1"/>
  <c r="J101" i="1"/>
  <c r="J38" i="1"/>
  <c r="J168" i="1"/>
  <c r="L168" i="1" s="1"/>
  <c r="P168" i="1" s="1"/>
  <c r="J125" i="1"/>
  <c r="L125" i="1" s="1"/>
  <c r="P125" i="1" s="1"/>
  <c r="J48" i="1"/>
  <c r="J86" i="1"/>
  <c r="L86" i="1" s="1"/>
  <c r="P86" i="1" s="1"/>
  <c r="J77" i="1"/>
  <c r="L77" i="1" s="1"/>
  <c r="R77" i="1" s="1"/>
  <c r="J112" i="1"/>
  <c r="L112" i="1" s="1"/>
  <c r="R112" i="1" s="1"/>
  <c r="J147" i="1"/>
  <c r="L147" i="1" s="1"/>
  <c r="P147" i="1" s="1"/>
  <c r="J151" i="1"/>
  <c r="L151" i="1" s="1"/>
  <c r="R151" i="1" s="1"/>
  <c r="J156" i="1"/>
  <c r="L156" i="1" s="1"/>
  <c r="P156" i="1" s="1"/>
  <c r="J105" i="1"/>
  <c r="J144" i="1"/>
  <c r="J177" i="1"/>
  <c r="J178" i="1"/>
  <c r="L178" i="1" s="1"/>
  <c r="P178" i="1" s="1"/>
  <c r="J39" i="1"/>
  <c r="L39" i="1" s="1"/>
  <c r="P39" i="1" s="1"/>
  <c r="J41" i="1"/>
  <c r="J27" i="1"/>
  <c r="L27" i="1" s="1"/>
  <c r="P27" i="1" s="1"/>
  <c r="J136" i="1"/>
  <c r="L136" i="1" s="1"/>
  <c r="P136" i="1" s="1"/>
  <c r="J43" i="1"/>
  <c r="L43" i="1" s="1"/>
  <c r="R43" i="1" s="1"/>
  <c r="J123" i="1"/>
  <c r="L123" i="1" s="1"/>
  <c r="R123" i="1" s="1"/>
  <c r="J187" i="1"/>
  <c r="L187" i="1" s="1"/>
  <c r="R187" i="1" s="1"/>
  <c r="J132" i="1"/>
  <c r="L132" i="1" s="1"/>
  <c r="R132" i="1" s="1"/>
  <c r="J16" i="1"/>
  <c r="J154" i="1"/>
  <c r="J183" i="1"/>
  <c r="J100" i="1"/>
  <c r="L100" i="1" s="1"/>
  <c r="R100" i="1" s="1"/>
  <c r="J176" i="1"/>
  <c r="L176" i="1" s="1"/>
  <c r="P176" i="1" s="1"/>
  <c r="J158" i="1"/>
  <c r="J121" i="1"/>
  <c r="L121" i="1" s="1"/>
  <c r="P121" i="1" s="1"/>
  <c r="J87" i="1"/>
  <c r="L87" i="1" s="1"/>
  <c r="P87" i="1" s="1"/>
  <c r="J6" i="1"/>
  <c r="L6" i="1" s="1"/>
  <c r="P6" i="1" s="1"/>
  <c r="J161" i="1"/>
  <c r="L161" i="1" s="1"/>
  <c r="P161" i="1" s="1"/>
  <c r="J110" i="1"/>
  <c r="L110" i="1" s="1"/>
  <c r="R110" i="1" s="1"/>
  <c r="J142" i="1"/>
  <c r="L142" i="1" s="1"/>
  <c r="R142" i="1" s="1"/>
  <c r="J31" i="1"/>
  <c r="J114" i="1"/>
  <c r="J179" i="1"/>
  <c r="J195" i="1"/>
  <c r="L195" i="1" s="1"/>
  <c r="R195" i="1" s="1"/>
  <c r="J47" i="1"/>
  <c r="L47" i="1" s="1"/>
  <c r="P47" i="1" s="1"/>
  <c r="J103" i="1"/>
  <c r="J107" i="1"/>
  <c r="L107" i="1" s="1"/>
  <c r="P107" i="1" s="1"/>
  <c r="J96" i="1"/>
  <c r="L96" i="1" s="1"/>
  <c r="R96" i="1" s="1"/>
  <c r="J115" i="1"/>
  <c r="L115" i="1" s="1"/>
  <c r="R115" i="1" s="1"/>
  <c r="J159" i="1"/>
  <c r="L159" i="1" s="1"/>
  <c r="P159" i="1" s="1"/>
  <c r="J189" i="1"/>
  <c r="L189" i="1" s="1"/>
  <c r="R189" i="1" s="1"/>
  <c r="J113" i="1"/>
  <c r="L113" i="1" s="1"/>
  <c r="R113" i="1" s="1"/>
  <c r="J118" i="1"/>
  <c r="J153" i="1"/>
  <c r="J60" i="1"/>
  <c r="J150" i="1"/>
  <c r="L150" i="1" s="1"/>
  <c r="R150" i="1" s="1"/>
  <c r="J7" i="1"/>
  <c r="L7" i="1" s="1"/>
  <c r="P7" i="1" s="1"/>
  <c r="J186" i="1"/>
  <c r="J191" i="1"/>
  <c r="L191" i="1" s="1"/>
  <c r="P191" i="1" s="1"/>
  <c r="J61" i="1"/>
  <c r="L61" i="1" s="1"/>
  <c r="R61" i="1" s="1"/>
  <c r="J21" i="1"/>
  <c r="L21" i="1" s="1"/>
  <c r="P21" i="1" s="1"/>
  <c r="J124" i="1"/>
  <c r="L124" i="1" s="1"/>
  <c r="P124" i="1" s="1"/>
  <c r="J44" i="1"/>
  <c r="L44" i="1" s="1"/>
  <c r="R44" i="1" s="1"/>
  <c r="J165" i="1"/>
  <c r="L165" i="1" s="1"/>
  <c r="P165" i="1" s="1"/>
  <c r="J200" i="1"/>
  <c r="J45" i="1"/>
  <c r="J129" i="1"/>
  <c r="J139" i="1"/>
  <c r="L139" i="1" s="1"/>
  <c r="R139" i="1" s="1"/>
  <c r="J137" i="1"/>
  <c r="L137" i="1" s="1"/>
  <c r="P137" i="1" s="1"/>
  <c r="J127" i="1"/>
  <c r="J172" i="1"/>
  <c r="L172" i="1" s="1"/>
  <c r="R172" i="1" s="1"/>
  <c r="J157" i="1"/>
  <c r="L157" i="1" s="1"/>
  <c r="P157" i="1" s="1"/>
  <c r="J67" i="1"/>
  <c r="L67" i="1" s="1"/>
  <c r="P67" i="1" s="1"/>
  <c r="J15" i="1"/>
  <c r="L15" i="1" s="1"/>
  <c r="R15" i="1" s="1"/>
  <c r="J75" i="1"/>
  <c r="L75" i="1" s="1"/>
  <c r="R75" i="1" s="1"/>
  <c r="J104" i="1"/>
  <c r="L104" i="1" s="1"/>
  <c r="R104" i="1" s="1"/>
  <c r="J17" i="1"/>
  <c r="J22" i="1"/>
  <c r="J198" i="1"/>
  <c r="J160" i="1"/>
  <c r="L160" i="1" s="1"/>
  <c r="R160" i="1" s="1"/>
  <c r="J120" i="1"/>
  <c r="L120" i="1" s="1"/>
  <c r="P120" i="1" s="1"/>
  <c r="J106" i="1"/>
  <c r="J162" i="1"/>
  <c r="L162" i="1" s="1"/>
  <c r="R162" i="1" s="1"/>
  <c r="J10" i="1"/>
  <c r="L10" i="1" s="1"/>
  <c r="P10" i="1" s="1"/>
  <c r="J163" i="1"/>
  <c r="L163" i="1" s="1"/>
  <c r="R163" i="1" s="1"/>
  <c r="J99" i="1"/>
  <c r="L99" i="1" s="1"/>
  <c r="P99" i="1" s="1"/>
  <c r="J53" i="1"/>
  <c r="L53" i="1" s="1"/>
  <c r="P53" i="1" s="1"/>
  <c r="J59" i="1"/>
  <c r="L59" i="1" s="1"/>
  <c r="P59" i="1" s="1"/>
  <c r="J170" i="1"/>
  <c r="J133" i="1"/>
  <c r="J88" i="1"/>
  <c r="J192" i="1"/>
  <c r="L192" i="1" s="1"/>
  <c r="R192" i="1" s="1"/>
  <c r="J8" i="1"/>
  <c r="L8" i="1" s="1"/>
  <c r="R8" i="1" s="1"/>
  <c r="J54" i="1"/>
  <c r="J2" i="1"/>
  <c r="L2" i="1" s="1"/>
  <c r="P2" i="1" s="1"/>
  <c r="J5" i="1"/>
  <c r="L5" i="1" s="1"/>
  <c r="R5" i="1" s="1"/>
  <c r="J98" i="1"/>
  <c r="L98" i="1" s="1"/>
  <c r="R98" i="1" s="1"/>
  <c r="J140" i="1"/>
  <c r="L140" i="1" s="1"/>
  <c r="P140" i="1" s="1"/>
  <c r="J12" i="1"/>
  <c r="L12" i="1" s="1"/>
  <c r="R12" i="1" s="1"/>
  <c r="J29" i="1"/>
  <c r="L29" i="1" s="1"/>
  <c r="R29" i="1" s="1"/>
  <c r="J128" i="1"/>
  <c r="J108" i="1"/>
  <c r="J42" i="1"/>
  <c r="J28" i="1"/>
  <c r="L28" i="1" s="1"/>
  <c r="R28" i="1" s="1"/>
  <c r="J65" i="1"/>
  <c r="L65" i="1" s="1"/>
  <c r="P65" i="1" s="1"/>
  <c r="J23" i="1"/>
  <c r="J148" i="1"/>
  <c r="L148" i="1" s="1"/>
  <c r="P148" i="1" s="1"/>
  <c r="J169" i="1"/>
  <c r="L169" i="1" s="1"/>
  <c r="P169" i="1" s="1"/>
  <c r="J90" i="1"/>
  <c r="L90" i="1" s="1"/>
  <c r="P90" i="1" s="1"/>
  <c r="J164" i="1"/>
  <c r="L164" i="1" s="1"/>
  <c r="R164" i="1" s="1"/>
  <c r="J25" i="1"/>
  <c r="L25" i="1" s="1"/>
  <c r="P25" i="1" s="1"/>
  <c r="J49" i="1"/>
  <c r="L49" i="1" s="1"/>
  <c r="P49" i="1" s="1"/>
  <c r="J145" i="1"/>
  <c r="J76" i="1"/>
  <c r="J13" i="1"/>
  <c r="J72" i="1"/>
  <c r="L72" i="1" s="1"/>
  <c r="P72" i="1" s="1"/>
  <c r="J180" i="1"/>
  <c r="L180" i="1" s="1"/>
  <c r="P180" i="1" s="1"/>
  <c r="J131" i="1"/>
  <c r="J58" i="1"/>
  <c r="L58" i="1" s="1"/>
  <c r="P58" i="1" s="1"/>
  <c r="J3" i="1"/>
  <c r="L3" i="1" s="1"/>
  <c r="P3" i="1" s="1"/>
  <c r="J82" i="1"/>
  <c r="L82" i="1" s="1"/>
  <c r="P82" i="1" s="1"/>
  <c r="J79" i="1"/>
  <c r="L79" i="1" s="1"/>
  <c r="R79" i="1" s="1"/>
  <c r="J36" i="1"/>
  <c r="L36" i="1" s="1"/>
  <c r="R36" i="1" s="1"/>
  <c r="J14" i="1"/>
  <c r="L14" i="1" s="1"/>
  <c r="R14" i="1" s="1"/>
  <c r="J85" i="1"/>
  <c r="J69" i="1"/>
  <c r="J91" i="1"/>
  <c r="J155" i="1"/>
  <c r="L155" i="1" s="1"/>
  <c r="R155" i="1" s="1"/>
  <c r="J46" i="1"/>
  <c r="L46" i="1" s="1"/>
  <c r="P46" i="1" s="1"/>
  <c r="J134" i="1"/>
  <c r="J141" i="1"/>
  <c r="L141" i="1" s="1"/>
  <c r="P141" i="1" s="1"/>
  <c r="J122" i="1"/>
  <c r="L122" i="1" s="1"/>
  <c r="R122" i="1" s="1"/>
  <c r="J78" i="1"/>
  <c r="L78" i="1" s="1"/>
  <c r="R78" i="1" s="1"/>
  <c r="J84" i="1"/>
  <c r="L84" i="1" s="1"/>
  <c r="R84" i="1" s="1"/>
  <c r="J32" i="1"/>
  <c r="L32" i="1" s="1"/>
  <c r="R32" i="1" s="1"/>
  <c r="J181" i="1"/>
  <c r="L181" i="1" s="1"/>
  <c r="R181" i="1" s="1"/>
  <c r="J89" i="1"/>
  <c r="J63" i="1"/>
  <c r="J94" i="1"/>
  <c r="J109" i="1"/>
  <c r="L109" i="1" s="1"/>
  <c r="R109" i="1" s="1"/>
  <c r="J68" i="1"/>
  <c r="L68" i="1" s="1"/>
  <c r="P68" i="1" s="1"/>
  <c r="J138" i="1"/>
  <c r="J24" i="1"/>
  <c r="L24" i="1" s="1"/>
  <c r="R24" i="1" s="1"/>
  <c r="J70" i="1"/>
  <c r="L70" i="1" s="1"/>
  <c r="P70" i="1" s="1"/>
  <c r="J64" i="1"/>
  <c r="L64" i="1" s="1"/>
  <c r="P64" i="1" s="1"/>
  <c r="J19" i="1"/>
  <c r="L19" i="1" s="1"/>
  <c r="R19" i="1" s="1"/>
  <c r="J97" i="1"/>
  <c r="L97" i="1" s="1"/>
  <c r="R97" i="1" s="1"/>
  <c r="J185" i="1"/>
  <c r="L185" i="1" s="1"/>
  <c r="P185" i="1" s="1"/>
  <c r="J30" i="1"/>
  <c r="J4" i="1"/>
  <c r="J193" i="1"/>
  <c r="J92" i="1"/>
  <c r="L92" i="1" s="1"/>
  <c r="R92" i="1" s="1"/>
  <c r="J146" i="1"/>
  <c r="L146" i="1" s="1"/>
  <c r="P146" i="1" s="1"/>
  <c r="J111" i="1"/>
  <c r="J184" i="1"/>
  <c r="L184" i="1" s="1"/>
  <c r="P184" i="1" s="1"/>
  <c r="J130" i="1"/>
  <c r="L130" i="1" s="1"/>
  <c r="P130" i="1" s="1"/>
  <c r="J116" i="1"/>
  <c r="L116" i="1" s="1"/>
  <c r="R116" i="1" s="1"/>
  <c r="J95" i="1"/>
  <c r="L95" i="1" s="1"/>
  <c r="P95" i="1" s="1"/>
  <c r="J182" i="1"/>
  <c r="L182" i="1" s="1"/>
  <c r="R182" i="1" s="1"/>
  <c r="J149" i="1"/>
  <c r="L149" i="1" s="1"/>
  <c r="R149" i="1" s="1"/>
  <c r="J11" i="1"/>
  <c r="J143" i="1"/>
  <c r="J171" i="1"/>
  <c r="J199" i="1"/>
  <c r="L199" i="1" s="1"/>
  <c r="R199" i="1" s="1"/>
  <c r="J74" i="1"/>
  <c r="L74" i="1" s="1"/>
  <c r="P74" i="1" s="1"/>
  <c r="J26" i="1"/>
  <c r="J194" i="1"/>
  <c r="L194" i="1" s="1"/>
  <c r="P194" i="1" s="1"/>
  <c r="J152" i="1"/>
  <c r="L152" i="1" s="1"/>
  <c r="P152" i="1" s="1"/>
  <c r="J117" i="1"/>
  <c r="L117" i="1" s="1"/>
  <c r="R117" i="1" s="1"/>
  <c r="J18" i="1"/>
  <c r="L18" i="1" s="1"/>
  <c r="R18" i="1" s="1"/>
  <c r="J80" i="1"/>
  <c r="L80" i="1" s="1"/>
  <c r="R80" i="1" s="1"/>
  <c r="J35" i="1"/>
  <c r="L35" i="1" s="1"/>
  <c r="R35" i="1" s="1"/>
  <c r="J167" i="1"/>
  <c r="J83" i="1"/>
  <c r="J66" i="1"/>
  <c r="J57" i="1"/>
  <c r="L57" i="1" s="1"/>
  <c r="R57" i="1" s="1"/>
  <c r="J52" i="1"/>
  <c r="L52" i="1" s="1"/>
  <c r="P52" i="1" s="1"/>
  <c r="J71" i="1"/>
  <c r="J190" i="1"/>
  <c r="L190" i="1" s="1"/>
  <c r="P190" i="1" s="1"/>
  <c r="J188" i="1"/>
  <c r="L188" i="1" s="1"/>
  <c r="R188" i="1" s="1"/>
  <c r="J81" i="1"/>
  <c r="L81" i="1" s="1"/>
  <c r="R81" i="1" s="1"/>
  <c r="J173" i="1"/>
  <c r="L173" i="1" s="1"/>
  <c r="R173" i="1" s="1"/>
  <c r="J55" i="1"/>
  <c r="L55" i="1" s="1"/>
  <c r="R55" i="1" s="1"/>
  <c r="J197" i="1"/>
  <c r="L197" i="1" s="1"/>
  <c r="R197" i="1" s="1"/>
  <c r="J174" i="1"/>
  <c r="J73" i="1"/>
  <c r="J102" i="1"/>
  <c r="J50" i="1"/>
  <c r="L50" i="1" s="1"/>
  <c r="R50" i="1" s="1"/>
  <c r="J126" i="1"/>
  <c r="L126" i="1" s="1"/>
  <c r="P126" i="1" s="1"/>
  <c r="J40" i="1"/>
  <c r="J33" i="1"/>
  <c r="L33" i="1" s="1"/>
  <c r="P33" i="1" s="1"/>
  <c r="J51" i="1"/>
  <c r="L51" i="1" s="1"/>
  <c r="P51" i="1" s="1"/>
  <c r="J93" i="1"/>
  <c r="L93" i="1" s="1"/>
  <c r="P93" i="1" s="1"/>
  <c r="J175" i="1"/>
  <c r="L175" i="1" s="1"/>
  <c r="P175" i="1" s="1"/>
  <c r="J119" i="1"/>
  <c r="L119" i="1" s="1"/>
  <c r="P119" i="1" s="1"/>
  <c r="J37" i="1"/>
  <c r="L37" i="1" s="1"/>
  <c r="R37" i="1" s="1"/>
  <c r="R191" i="1" l="1"/>
  <c r="R190" i="1"/>
  <c r="R121" i="1"/>
  <c r="R119" i="1"/>
  <c r="R99" i="1"/>
  <c r="R58" i="1"/>
  <c r="R95" i="1"/>
  <c r="R59" i="1"/>
  <c r="R175" i="1"/>
  <c r="R161" i="1"/>
  <c r="R159" i="1"/>
  <c r="R51" i="1"/>
  <c r="R107" i="1"/>
  <c r="R27" i="1"/>
  <c r="R86" i="1"/>
  <c r="R147" i="1"/>
  <c r="R3" i="1"/>
  <c r="R87" i="1"/>
  <c r="R194" i="1"/>
  <c r="R135" i="1"/>
  <c r="R2" i="1"/>
  <c r="R39" i="1"/>
  <c r="R146" i="1"/>
  <c r="R74" i="1"/>
  <c r="R169" i="1"/>
  <c r="R157" i="1"/>
  <c r="R49" i="1"/>
  <c r="R25" i="1"/>
  <c r="R180" i="1"/>
  <c r="R168" i="1"/>
  <c r="R156" i="1"/>
  <c r="R120" i="1"/>
  <c r="R72" i="1"/>
  <c r="R47" i="1"/>
  <c r="R178" i="1"/>
  <c r="R130" i="1"/>
  <c r="R82" i="1"/>
  <c r="R70" i="1"/>
  <c r="R46" i="1"/>
  <c r="R10" i="1"/>
  <c r="R201" i="1"/>
  <c r="R165" i="1"/>
  <c r="R141" i="1"/>
  <c r="R93" i="1"/>
  <c r="R33" i="1"/>
  <c r="R21" i="1"/>
  <c r="R9" i="1"/>
  <c r="R176" i="1"/>
  <c r="R152" i="1"/>
  <c r="R140" i="1"/>
  <c r="R68" i="1"/>
  <c r="R56" i="1"/>
  <c r="R67" i="1"/>
  <c r="R7" i="1"/>
  <c r="R126" i="1"/>
  <c r="R90" i="1"/>
  <c r="R6" i="1"/>
  <c r="R185" i="1"/>
  <c r="R137" i="1"/>
  <c r="R125" i="1"/>
  <c r="R65" i="1"/>
  <c r="R53" i="1"/>
  <c r="R184" i="1"/>
  <c r="R148" i="1"/>
  <c r="R136" i="1"/>
  <c r="R124" i="1"/>
  <c r="R64" i="1"/>
  <c r="R52" i="1"/>
  <c r="Q3" i="1"/>
  <c r="Q58" i="1"/>
  <c r="T4" i="1"/>
  <c r="Q61" i="1"/>
  <c r="Q191" i="1"/>
  <c r="Q27" i="1"/>
  <c r="Q49" i="1"/>
  <c r="Q165" i="1"/>
  <c r="Q136" i="1"/>
  <c r="P195" i="1"/>
  <c r="P50" i="1"/>
  <c r="P57" i="1"/>
  <c r="P199" i="1"/>
  <c r="Q130" i="1"/>
  <c r="Q156" i="1"/>
  <c r="P100" i="1"/>
  <c r="P149" i="1"/>
  <c r="Q184" i="1"/>
  <c r="P28" i="1"/>
  <c r="P192" i="1"/>
  <c r="P142" i="1"/>
  <c r="Q142" i="1"/>
  <c r="P197" i="1"/>
  <c r="Q181" i="1"/>
  <c r="Q55" i="1"/>
  <c r="P110" i="1"/>
  <c r="Q115" i="1"/>
  <c r="Q70" i="1"/>
  <c r="Q25" i="1"/>
  <c r="Q10" i="1"/>
  <c r="Q96" i="1"/>
  <c r="Q151" i="1"/>
  <c r="Q190" i="1"/>
  <c r="Q164" i="1"/>
  <c r="Q107" i="1"/>
  <c r="Q147" i="1"/>
  <c r="Q117" i="1"/>
  <c r="Q90" i="1"/>
  <c r="Q112" i="1"/>
  <c r="P151" i="1"/>
  <c r="Q32" i="1"/>
  <c r="Q110" i="1"/>
  <c r="P160" i="1"/>
  <c r="Q84" i="1"/>
  <c r="Q148" i="1"/>
  <c r="Q161" i="1"/>
  <c r="P139" i="1"/>
  <c r="Q149" i="1"/>
  <c r="Q78" i="1"/>
  <c r="Q6" i="1"/>
  <c r="P181" i="1"/>
  <c r="Q51" i="1"/>
  <c r="Q182" i="1"/>
  <c r="Q122" i="1"/>
  <c r="Q5" i="1"/>
  <c r="Q44" i="1"/>
  <c r="Q87" i="1"/>
  <c r="Q135" i="1"/>
  <c r="P55" i="1"/>
  <c r="Q81" i="1"/>
  <c r="Q24" i="1"/>
  <c r="Q162" i="1"/>
  <c r="Q67" i="1"/>
  <c r="P182" i="1"/>
  <c r="Q157" i="1"/>
  <c r="Q86" i="1"/>
  <c r="P109" i="1"/>
  <c r="Q93" i="1"/>
  <c r="Q98" i="1"/>
  <c r="Q9" i="1"/>
  <c r="P32" i="1"/>
  <c r="P44" i="1"/>
  <c r="Q33" i="1"/>
  <c r="Q95" i="1"/>
  <c r="Q141" i="1"/>
  <c r="Q2" i="1"/>
  <c r="Q124" i="1"/>
  <c r="Q121" i="1"/>
  <c r="Q201" i="1"/>
  <c r="Q53" i="1"/>
  <c r="Q173" i="1"/>
  <c r="Q99" i="1"/>
  <c r="Q64" i="1"/>
  <c r="Q163" i="1"/>
  <c r="Q188" i="1"/>
  <c r="Q152" i="1"/>
  <c r="Q169" i="1"/>
  <c r="Q77" i="1"/>
  <c r="P92" i="1"/>
  <c r="Q194" i="1"/>
  <c r="Q172" i="1"/>
  <c r="P155" i="1"/>
  <c r="P150" i="1"/>
  <c r="Q197" i="1"/>
  <c r="Q116" i="1"/>
  <c r="Q82" i="1"/>
  <c r="Q59" i="1"/>
  <c r="Q21" i="1"/>
  <c r="Q43" i="1"/>
  <c r="L138" i="1"/>
  <c r="R138" i="1" s="1"/>
  <c r="Q138" i="1"/>
  <c r="L102" i="1"/>
  <c r="R102" i="1" s="1"/>
  <c r="Q102" i="1"/>
  <c r="L171" i="1"/>
  <c r="R171" i="1" s="1"/>
  <c r="Q171" i="1"/>
  <c r="L94" i="1"/>
  <c r="R94" i="1" s="1"/>
  <c r="Q94" i="1"/>
  <c r="L13" i="1"/>
  <c r="R13" i="1" s="1"/>
  <c r="Q13" i="1"/>
  <c r="L88" i="1"/>
  <c r="R88" i="1" s="1"/>
  <c r="Q88" i="1"/>
  <c r="L60" i="1"/>
  <c r="R60" i="1" s="1"/>
  <c r="Q60" i="1"/>
  <c r="L183" i="1"/>
  <c r="R183" i="1" s="1"/>
  <c r="Q183" i="1"/>
  <c r="L38" i="1"/>
  <c r="R38" i="1" s="1"/>
  <c r="Q38" i="1"/>
  <c r="L69" i="1"/>
  <c r="R69" i="1" s="1"/>
  <c r="Q69" i="1"/>
  <c r="L89" i="1"/>
  <c r="R89" i="1" s="1"/>
  <c r="Q89" i="1"/>
  <c r="P35" i="1"/>
  <c r="P29" i="1"/>
  <c r="P132" i="1"/>
  <c r="P18" i="1"/>
  <c r="P84" i="1"/>
  <c r="P80" i="1"/>
  <c r="P36" i="1"/>
  <c r="P189" i="1"/>
  <c r="P196" i="1"/>
  <c r="Q37" i="1"/>
  <c r="Q35" i="1"/>
  <c r="Q185" i="1"/>
  <c r="Q14" i="1"/>
  <c r="Q29" i="1"/>
  <c r="Q104" i="1"/>
  <c r="Q113" i="1"/>
  <c r="Q132" i="1"/>
  <c r="Q62" i="1"/>
  <c r="L134" i="1"/>
  <c r="R134" i="1" s="1"/>
  <c r="Q134" i="1"/>
  <c r="L66" i="1"/>
  <c r="R66" i="1" s="1"/>
  <c r="Q66" i="1"/>
  <c r="L193" i="1"/>
  <c r="R193" i="1" s="1"/>
  <c r="Q193" i="1"/>
  <c r="L91" i="1"/>
  <c r="R91" i="1" s="1"/>
  <c r="Q91" i="1"/>
  <c r="L42" i="1"/>
  <c r="R42" i="1" s="1"/>
  <c r="Q42" i="1"/>
  <c r="L198" i="1"/>
  <c r="R198" i="1" s="1"/>
  <c r="Q198" i="1"/>
  <c r="L179" i="1"/>
  <c r="R179" i="1" s="1"/>
  <c r="Q179" i="1"/>
  <c r="L177" i="1"/>
  <c r="R177" i="1" s="1"/>
  <c r="Q177" i="1"/>
  <c r="L4" i="1"/>
  <c r="R4" i="1" s="1"/>
  <c r="Q4" i="1"/>
  <c r="L85" i="1"/>
  <c r="R85" i="1" s="1"/>
  <c r="Q85" i="1"/>
  <c r="P173" i="1"/>
  <c r="P19" i="1"/>
  <c r="P164" i="1"/>
  <c r="P97" i="1"/>
  <c r="P12" i="1"/>
  <c r="P75" i="1"/>
  <c r="P187" i="1"/>
  <c r="Q119" i="1"/>
  <c r="Q80" i="1"/>
  <c r="Q97" i="1"/>
  <c r="Q36" i="1"/>
  <c r="Q12" i="1"/>
  <c r="Q75" i="1"/>
  <c r="Q189" i="1"/>
  <c r="Q187" i="1"/>
  <c r="Q196" i="1"/>
  <c r="L40" i="1"/>
  <c r="R40" i="1" s="1"/>
  <c r="Q40" i="1"/>
  <c r="L71" i="1"/>
  <c r="R71" i="1" s="1"/>
  <c r="Q71" i="1"/>
  <c r="L26" i="1"/>
  <c r="R26" i="1" s="1"/>
  <c r="Q26" i="1"/>
  <c r="L111" i="1"/>
  <c r="R111" i="1" s="1"/>
  <c r="Q111" i="1"/>
  <c r="L131" i="1"/>
  <c r="R131" i="1" s="1"/>
  <c r="Q131" i="1"/>
  <c r="L23" i="1"/>
  <c r="R23" i="1" s="1"/>
  <c r="Q23" i="1"/>
  <c r="L54" i="1"/>
  <c r="R54" i="1" s="1"/>
  <c r="Q54" i="1"/>
  <c r="L106" i="1"/>
  <c r="R106" i="1" s="1"/>
  <c r="Q106" i="1"/>
  <c r="L127" i="1"/>
  <c r="R127" i="1" s="1"/>
  <c r="Q127" i="1"/>
  <c r="L186" i="1"/>
  <c r="R186" i="1" s="1"/>
  <c r="Q186" i="1"/>
  <c r="L103" i="1"/>
  <c r="R103" i="1" s="1"/>
  <c r="Q103" i="1"/>
  <c r="L158" i="1"/>
  <c r="R158" i="1" s="1"/>
  <c r="Q158" i="1"/>
  <c r="L41" i="1"/>
  <c r="R41" i="1" s="1"/>
  <c r="Q41" i="1"/>
  <c r="L48" i="1"/>
  <c r="R48" i="1" s="1"/>
  <c r="Q48" i="1"/>
  <c r="L166" i="1"/>
  <c r="R166" i="1" s="1"/>
  <c r="Q166" i="1"/>
  <c r="L129" i="1"/>
  <c r="R129" i="1" s="1"/>
  <c r="Q129" i="1"/>
  <c r="L73" i="1"/>
  <c r="R73" i="1" s="1"/>
  <c r="Q73" i="1"/>
  <c r="L83" i="1"/>
  <c r="R83" i="1" s="1"/>
  <c r="Q83" i="1"/>
  <c r="L143" i="1"/>
  <c r="R143" i="1" s="1"/>
  <c r="Q143" i="1"/>
  <c r="L63" i="1"/>
  <c r="R63" i="1" s="1"/>
  <c r="Q63" i="1"/>
  <c r="L76" i="1"/>
  <c r="R76" i="1" s="1"/>
  <c r="Q76" i="1"/>
  <c r="L108" i="1"/>
  <c r="R108" i="1" s="1"/>
  <c r="Q108" i="1"/>
  <c r="L133" i="1"/>
  <c r="R133" i="1" s="1"/>
  <c r="Q133" i="1"/>
  <c r="L22" i="1"/>
  <c r="R22" i="1" s="1"/>
  <c r="Q22" i="1"/>
  <c r="L45" i="1"/>
  <c r="R45" i="1" s="1"/>
  <c r="Q45" i="1"/>
  <c r="L153" i="1"/>
  <c r="R153" i="1" s="1"/>
  <c r="Q153" i="1"/>
  <c r="L114" i="1"/>
  <c r="R114" i="1" s="1"/>
  <c r="Q114" i="1"/>
  <c r="L154" i="1"/>
  <c r="R154" i="1" s="1"/>
  <c r="Q154" i="1"/>
  <c r="L144" i="1"/>
  <c r="R144" i="1" s="1"/>
  <c r="Q144" i="1"/>
  <c r="L101" i="1"/>
  <c r="R101" i="1" s="1"/>
  <c r="Q101" i="1"/>
  <c r="L174" i="1"/>
  <c r="R174" i="1" s="1"/>
  <c r="Q174" i="1"/>
  <c r="L167" i="1"/>
  <c r="R167" i="1" s="1"/>
  <c r="Q167" i="1"/>
  <c r="L11" i="1"/>
  <c r="R11" i="1" s="1"/>
  <c r="Q11" i="1"/>
  <c r="L30" i="1"/>
  <c r="R30" i="1" s="1"/>
  <c r="Q30" i="1"/>
  <c r="L145" i="1"/>
  <c r="R145" i="1" s="1"/>
  <c r="Q145" i="1"/>
  <c r="L128" i="1"/>
  <c r="R128" i="1" s="1"/>
  <c r="Q128" i="1"/>
  <c r="L170" i="1"/>
  <c r="R170" i="1" s="1"/>
  <c r="Q170" i="1"/>
  <c r="L17" i="1"/>
  <c r="R17" i="1" s="1"/>
  <c r="Q17" i="1"/>
  <c r="L200" i="1"/>
  <c r="R200" i="1" s="1"/>
  <c r="Q200" i="1"/>
  <c r="L118" i="1"/>
  <c r="R118" i="1" s="1"/>
  <c r="Q118" i="1"/>
  <c r="L31" i="1"/>
  <c r="R31" i="1" s="1"/>
  <c r="Q31" i="1"/>
  <c r="L16" i="1"/>
  <c r="R16" i="1" s="1"/>
  <c r="Q16" i="1"/>
  <c r="L105" i="1"/>
  <c r="R105" i="1" s="1"/>
  <c r="Q105" i="1"/>
  <c r="L34" i="1"/>
  <c r="R34" i="1" s="1"/>
  <c r="Q34" i="1"/>
  <c r="P37" i="1"/>
  <c r="P14" i="1"/>
  <c r="P104" i="1"/>
  <c r="P113" i="1"/>
  <c r="P62" i="1"/>
  <c r="P79" i="1"/>
  <c r="P15" i="1"/>
  <c r="P123" i="1"/>
  <c r="P20" i="1"/>
  <c r="Q175" i="1"/>
  <c r="Q18" i="1"/>
  <c r="Q19" i="1"/>
  <c r="Q79" i="1"/>
  <c r="Q140" i="1"/>
  <c r="Q15" i="1"/>
  <c r="Q159" i="1"/>
  <c r="Q123" i="1"/>
  <c r="Q20" i="1"/>
  <c r="P81" i="1"/>
  <c r="P117" i="1"/>
  <c r="P116" i="1"/>
  <c r="P78" i="1"/>
  <c r="P98" i="1"/>
  <c r="P163" i="1"/>
  <c r="P115" i="1"/>
  <c r="P43" i="1"/>
  <c r="P112" i="1"/>
  <c r="Q126" i="1"/>
  <c r="Q52" i="1"/>
  <c r="Q74" i="1"/>
  <c r="Q146" i="1"/>
  <c r="Q68" i="1"/>
  <c r="Q46" i="1"/>
  <c r="Q180" i="1"/>
  <c r="Q65" i="1"/>
  <c r="Q8" i="1"/>
  <c r="Q120" i="1"/>
  <c r="Q137" i="1"/>
  <c r="Q7" i="1"/>
  <c r="Q47" i="1"/>
  <c r="Q176" i="1"/>
  <c r="Q39" i="1"/>
  <c r="Q125" i="1"/>
  <c r="Q56" i="1"/>
  <c r="P188" i="1"/>
  <c r="P122" i="1"/>
  <c r="P5" i="1"/>
  <c r="P61" i="1"/>
  <c r="P96" i="1"/>
  <c r="P77" i="1"/>
  <c r="Q50" i="1"/>
  <c r="Q57" i="1"/>
  <c r="Q199" i="1"/>
  <c r="Q92" i="1"/>
  <c r="Q109" i="1"/>
  <c r="Q155" i="1"/>
  <c r="Q72" i="1"/>
  <c r="Q28" i="1"/>
  <c r="Q192" i="1"/>
  <c r="Q160" i="1"/>
  <c r="Q139" i="1"/>
  <c r="Q150" i="1"/>
  <c r="Q195" i="1"/>
  <c r="Q100" i="1"/>
  <c r="Q178" i="1"/>
  <c r="Q168" i="1"/>
  <c r="P24" i="1"/>
  <c r="P162" i="1"/>
  <c r="P172" i="1"/>
  <c r="P8" i="1"/>
  <c r="T7" i="1" l="1"/>
  <c r="T18" i="1"/>
  <c r="P16" i="1"/>
  <c r="P128" i="1"/>
  <c r="P101" i="1"/>
  <c r="P22" i="1"/>
  <c r="P83" i="1"/>
  <c r="P158" i="1"/>
  <c r="P23" i="1"/>
  <c r="P4" i="1"/>
  <c r="P193" i="1"/>
  <c r="P60" i="1"/>
  <c r="P138" i="1"/>
  <c r="P31" i="1"/>
  <c r="P145" i="1"/>
  <c r="P144" i="1"/>
  <c r="P133" i="1"/>
  <c r="P73" i="1"/>
  <c r="P103" i="1"/>
  <c r="P131" i="1"/>
  <c r="P177" i="1"/>
  <c r="P66" i="1"/>
  <c r="P88" i="1"/>
  <c r="P118" i="1"/>
  <c r="P30" i="1"/>
  <c r="P154" i="1"/>
  <c r="P108" i="1"/>
  <c r="P129" i="1"/>
  <c r="P186" i="1"/>
  <c r="P111" i="1"/>
  <c r="P179" i="1"/>
  <c r="P134" i="1"/>
  <c r="P89" i="1"/>
  <c r="P13" i="1"/>
  <c r="P200" i="1"/>
  <c r="P11" i="1"/>
  <c r="P114" i="1"/>
  <c r="P76" i="1"/>
  <c r="P166" i="1"/>
  <c r="P127" i="1"/>
  <c r="P26" i="1"/>
  <c r="P198" i="1"/>
  <c r="P69" i="1"/>
  <c r="P94" i="1"/>
  <c r="P34" i="1"/>
  <c r="P17" i="1"/>
  <c r="P167" i="1"/>
  <c r="P153" i="1"/>
  <c r="P63" i="1"/>
  <c r="P48" i="1"/>
  <c r="P106" i="1"/>
  <c r="P71" i="1"/>
  <c r="P42" i="1"/>
  <c r="P38" i="1"/>
  <c r="P171" i="1"/>
  <c r="P105" i="1"/>
  <c r="P170" i="1"/>
  <c r="P174" i="1"/>
  <c r="P45" i="1"/>
  <c r="P143" i="1"/>
  <c r="P41" i="1"/>
  <c r="P54" i="1"/>
  <c r="P40" i="1"/>
  <c r="P85" i="1"/>
  <c r="P91" i="1"/>
  <c r="P183" i="1"/>
  <c r="P102" i="1"/>
  <c r="T1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7CF3C8-51C8-41BC-8FB2-C115339615AF}" keepAlive="1" name="Query - Sales Table" description="Connection to the 'Sales Table' query in the workbook." type="5" refreshedVersion="0" background="1">
    <dbPr connection="Provider=Microsoft.Mashup.OleDb.1;Data Source=$Workbook$;Location=&quot;Sales Table&quot;;Extended Properties=&quot;&quot;" command="SELECT * FROM [Sales Table]"/>
  </connection>
</connections>
</file>

<file path=xl/sharedStrings.xml><?xml version="1.0" encoding="utf-8"?>
<sst xmlns="http://schemas.openxmlformats.org/spreadsheetml/2006/main" count="1144" uniqueCount="494">
  <si>
    <t>Order_ID</t>
  </si>
  <si>
    <t>Order_Date</t>
  </si>
  <si>
    <t>Region</t>
  </si>
  <si>
    <t>Category</t>
  </si>
  <si>
    <t>Product</t>
  </si>
  <si>
    <t>Quantity</t>
  </si>
  <si>
    <t>Unit_Price</t>
  </si>
  <si>
    <t>Sales</t>
  </si>
  <si>
    <t>Cost</t>
  </si>
  <si>
    <t>Profit</t>
  </si>
  <si>
    <t>South</t>
  </si>
  <si>
    <t>Home &amp; Kitchen</t>
  </si>
  <si>
    <t>Blender</t>
  </si>
  <si>
    <t>East</t>
  </si>
  <si>
    <t>Cookware Set</t>
  </si>
  <si>
    <t>Books</t>
  </si>
  <si>
    <t>Comics</t>
  </si>
  <si>
    <t>West</t>
  </si>
  <si>
    <t>Vacuum Cleaner</t>
  </si>
  <si>
    <t>Textbook</t>
  </si>
  <si>
    <t>Sports</t>
  </si>
  <si>
    <t>Running Shoes</t>
  </si>
  <si>
    <t>Clothing</t>
  </si>
  <si>
    <t>Jeans</t>
  </si>
  <si>
    <t>North</t>
  </si>
  <si>
    <t>Electronics</t>
  </si>
  <si>
    <t>Headphones</t>
  </si>
  <si>
    <t>Dumbbells</t>
  </si>
  <si>
    <t>Jacket</t>
  </si>
  <si>
    <t>Shirt</t>
  </si>
  <si>
    <t>Tablet</t>
  </si>
  <si>
    <t>Tennis Racket</t>
  </si>
  <si>
    <t>Novel</t>
  </si>
  <si>
    <t>Smartphone</t>
  </si>
  <si>
    <t>T-Shirt</t>
  </si>
  <si>
    <t>Football</t>
  </si>
  <si>
    <t>Biography</t>
  </si>
  <si>
    <t>Laptop</t>
  </si>
  <si>
    <t>Microwave</t>
  </si>
  <si>
    <t>No Longer Needed</t>
  </si>
  <si>
    <t>Sara Jackson</t>
  </si>
  <si>
    <t>Henry Cooper</t>
  </si>
  <si>
    <t>Stanley Jimenez</t>
  </si>
  <si>
    <t>Richard Meyer</t>
  </si>
  <si>
    <t>Deborah Merritt</t>
  </si>
  <si>
    <t>Omar Lane</t>
  </si>
  <si>
    <t>Mrs. Laura Valencia</t>
  </si>
  <si>
    <t>Wendy Valenzuela</t>
  </si>
  <si>
    <t>Douglas Banks</t>
  </si>
  <si>
    <t>Adam Cochran</t>
  </si>
  <si>
    <t>Madison Harding</t>
  </si>
  <si>
    <t>Melissa Cruz</t>
  </si>
  <si>
    <t>Andre Heath</t>
  </si>
  <si>
    <t>Gerald Gonzalez</t>
  </si>
  <si>
    <t>Nicholas Curry</t>
  </si>
  <si>
    <t>Eric Stewart</t>
  </si>
  <si>
    <t>Vincent Jones</t>
  </si>
  <si>
    <t>Gary Davis</t>
  </si>
  <si>
    <t>Susan Johnson</t>
  </si>
  <si>
    <t>Sherry Esparza</t>
  </si>
  <si>
    <t>Tonya Daniels</t>
  </si>
  <si>
    <t>Teresa Vasquez</t>
  </si>
  <si>
    <t>Timothy Hurley</t>
  </si>
  <si>
    <t>Jamie Cline</t>
  </si>
  <si>
    <t>Jennifer Torres</t>
  </si>
  <si>
    <t>Amanda Jensen</t>
  </si>
  <si>
    <t>Angelica Green</t>
  </si>
  <si>
    <t>Kimberly Young</t>
  </si>
  <si>
    <t>Brenda Mitchell</t>
  </si>
  <si>
    <t>Jeanne Collins</t>
  </si>
  <si>
    <t>Linda Clay</t>
  </si>
  <si>
    <t>Jennifer Johnson</t>
  </si>
  <si>
    <t>Margaret Jones</t>
  </si>
  <si>
    <t>Ashley Perez</t>
  </si>
  <si>
    <t>Nathaniel King</t>
  </si>
  <si>
    <t>Christopher Taylor</t>
  </si>
  <si>
    <t>Christian Morgan</t>
  </si>
  <si>
    <t>Deborah Thompson</t>
  </si>
  <si>
    <t>Amy Li MD</t>
  </si>
  <si>
    <t>Valerie Salazar</t>
  </si>
  <si>
    <t>Ms. Julie Scott DDS</t>
  </si>
  <si>
    <t>Robert Wood</t>
  </si>
  <si>
    <t>Sara Ball</t>
  </si>
  <si>
    <t>Larry Munoz</t>
  </si>
  <si>
    <t>Christopher Brown</t>
  </si>
  <si>
    <t>Jeffrey Perez</t>
  </si>
  <si>
    <t>Cory Griffin</t>
  </si>
  <si>
    <t>Bradley Macias</t>
  </si>
  <si>
    <t>Lawrence Howard</t>
  </si>
  <si>
    <t>Robert Edwards</t>
  </si>
  <si>
    <t>Pamela Horton</t>
  </si>
  <si>
    <t>Scott Romero</t>
  </si>
  <si>
    <t>Michael Hamilton</t>
  </si>
  <si>
    <t>Eric Macias</t>
  </si>
  <si>
    <t>Katie Khan</t>
  </si>
  <si>
    <t>Mallory Guerrero</t>
  </si>
  <si>
    <t>Heather Guzman</t>
  </si>
  <si>
    <t>Dr. Alicia Berg</t>
  </si>
  <si>
    <t>Amy Terry</t>
  </si>
  <si>
    <t>Laurie Pace</t>
  </si>
  <si>
    <t>Michelle Thompson</t>
  </si>
  <si>
    <t>Melissa Lewis</t>
  </si>
  <si>
    <t>James Stewart</t>
  </si>
  <si>
    <t>Amy Graham</t>
  </si>
  <si>
    <t>Kari Hamilton</t>
  </si>
  <si>
    <t>David Chavez</t>
  </si>
  <si>
    <t>Jason Johnson</t>
  </si>
  <si>
    <t>Jason Navarro</t>
  </si>
  <si>
    <t>Andrew Mckinney</t>
  </si>
  <si>
    <t>Rachel King</t>
  </si>
  <si>
    <t>Tracy Burke</t>
  </si>
  <si>
    <t>John Ritter</t>
  </si>
  <si>
    <t>Cheryl Simmons</t>
  </si>
  <si>
    <t>Craig Rodriguez</t>
  </si>
  <si>
    <t>Yvette Bell</t>
  </si>
  <si>
    <t>Christy Maldonado</t>
  </si>
  <si>
    <t>Beverly Hopkins</t>
  </si>
  <si>
    <t>Alexander Bailey</t>
  </si>
  <si>
    <t>James Hodge</t>
  </si>
  <si>
    <t>Mitchell Bailey</t>
  </si>
  <si>
    <t>Megan Hall</t>
  </si>
  <si>
    <t>Karl Singh</t>
  </si>
  <si>
    <t>James Mitchell</t>
  </si>
  <si>
    <t>John Walker</t>
  </si>
  <si>
    <t>Eric Freeman</t>
  </si>
  <si>
    <t>Victoria Stevens</t>
  </si>
  <si>
    <t>Samuel Schneider</t>
  </si>
  <si>
    <t>Stephanie Smith</t>
  </si>
  <si>
    <t>Courtney Henderson</t>
  </si>
  <si>
    <t>Dennis Hunter</t>
  </si>
  <si>
    <t>Brendan Harris</t>
  </si>
  <si>
    <t>Christopher Boyer</t>
  </si>
  <si>
    <t>Robert Howe</t>
  </si>
  <si>
    <t>Lisa Whitehead</t>
  </si>
  <si>
    <t>Danielle Hines</t>
  </si>
  <si>
    <t>Michael Lane</t>
  </si>
  <si>
    <t>Karen Moore</t>
  </si>
  <si>
    <t>Michael George</t>
  </si>
  <si>
    <t>Michael Thompson</t>
  </si>
  <si>
    <t>John King</t>
  </si>
  <si>
    <t>Keith Black</t>
  </si>
  <si>
    <t>Corey Marquez</t>
  </si>
  <si>
    <t>Susan Caldwell</t>
  </si>
  <si>
    <t>Lindsey Gonzales</t>
  </si>
  <si>
    <t>Barbara White</t>
  </si>
  <si>
    <t>Tina Walton</t>
  </si>
  <si>
    <t>Christina Short</t>
  </si>
  <si>
    <t>Mark Smith</t>
  </si>
  <si>
    <t>Donald Day</t>
  </si>
  <si>
    <t>Henry Carrillo</t>
  </si>
  <si>
    <t>Shelly Petersen</t>
  </si>
  <si>
    <t>Oscar Dominguez</t>
  </si>
  <si>
    <t>Robert Johnson</t>
  </si>
  <si>
    <t>Heather Crane</t>
  </si>
  <si>
    <t>Kelly Baker</t>
  </si>
  <si>
    <t>Michael Jones</t>
  </si>
  <si>
    <t>Autumn Jordan</t>
  </si>
  <si>
    <t>Michelle Ford</t>
  </si>
  <si>
    <t>Deborah Barnes</t>
  </si>
  <si>
    <t>Mike Mcdonald</t>
  </si>
  <si>
    <t>Bradley Bates</t>
  </si>
  <si>
    <t>Joshua West</t>
  </si>
  <si>
    <t>Miguel Smith</t>
  </si>
  <si>
    <t>Aaron Gilbert</t>
  </si>
  <si>
    <t>Marcus Hess</t>
  </si>
  <si>
    <t>Jasmine Reed</t>
  </si>
  <si>
    <t>Brittany Mccoy</t>
  </si>
  <si>
    <t>Bill Anderson</t>
  </si>
  <si>
    <t>Joshua Combs</t>
  </si>
  <si>
    <t>Paula Martinez</t>
  </si>
  <si>
    <t>Susan Wright</t>
  </si>
  <si>
    <t>Megan Leon</t>
  </si>
  <si>
    <t>Shane Green</t>
  </si>
  <si>
    <t>Dennis Steele</t>
  </si>
  <si>
    <t>Brian Rocha</t>
  </si>
  <si>
    <t>Nathaniel Lindsey</t>
  </si>
  <si>
    <t>Amanda Johnson</t>
  </si>
  <si>
    <t>Raymond Mcguire</t>
  </si>
  <si>
    <t>Roy Hughes</t>
  </si>
  <si>
    <t>Felicia Davila</t>
  </si>
  <si>
    <t>Cindy Hunter</t>
  </si>
  <si>
    <t>Danielle Jones</t>
  </si>
  <si>
    <t>James Arnold</t>
  </si>
  <si>
    <t>Jessica Martin</t>
  </si>
  <si>
    <t>Michael Stone</t>
  </si>
  <si>
    <t>Chelsey Garcia</t>
  </si>
  <si>
    <t>Corey Sanchez</t>
  </si>
  <si>
    <t>James Chen</t>
  </si>
  <si>
    <t>Elizabeth Phillips</t>
  </si>
  <si>
    <t>Angela Miller</t>
  </si>
  <si>
    <t>Amanda Lane</t>
  </si>
  <si>
    <t>Brittany Smith</t>
  </si>
  <si>
    <t>Stephen Long</t>
  </si>
  <si>
    <t>Joseph Vasquez</t>
  </si>
  <si>
    <t>Emily Richards</t>
  </si>
  <si>
    <t>Dr. Michael Smith</t>
  </si>
  <si>
    <t>Priscilla Moore</t>
  </si>
  <si>
    <t>Michael Miller</t>
  </si>
  <si>
    <t>Marc Gray</t>
  </si>
  <si>
    <t>John Anderson</t>
  </si>
  <si>
    <t>Heidi Trujillo</t>
  </si>
  <si>
    <t>Amber Doyle</t>
  </si>
  <si>
    <t>Matthew Mitchell</t>
  </si>
  <si>
    <t>Maria Ortega</t>
  </si>
  <si>
    <t>Thomas Miller</t>
  </si>
  <si>
    <t>Christine Bridges</t>
  </si>
  <si>
    <t>Ashley Cooper</t>
  </si>
  <si>
    <t>Michael Moore</t>
  </si>
  <si>
    <t>Joseph Mueller</t>
  </si>
  <si>
    <t>Elizabeth Nash</t>
  </si>
  <si>
    <t>Mary Rogers</t>
  </si>
  <si>
    <t>Katherine James</t>
  </si>
  <si>
    <t>Martin Reyes</t>
  </si>
  <si>
    <t>Gabrielle Nelson</t>
  </si>
  <si>
    <t>David Mcgrath</t>
  </si>
  <si>
    <t>Michael Sampson</t>
  </si>
  <si>
    <t>Melissa Leach</t>
  </si>
  <si>
    <t>Samuel Campbell</t>
  </si>
  <si>
    <t>Jeff Adams</t>
  </si>
  <si>
    <t>Carolyn Collins</t>
  </si>
  <si>
    <t>John Wilson</t>
  </si>
  <si>
    <t>Victor Walker</t>
  </si>
  <si>
    <t>Stephen Hubbard</t>
  </si>
  <si>
    <t>Miss Patricia Duarte</t>
  </si>
  <si>
    <t>John Mckenzie</t>
  </si>
  <si>
    <t>Phyllis Gonzalez</t>
  </si>
  <si>
    <t>Sara Little</t>
  </si>
  <si>
    <t>Randy Landry</t>
  </si>
  <si>
    <t>Michael Mccarthy</t>
  </si>
  <si>
    <t>Christopher Guerrero</t>
  </si>
  <si>
    <t>Kara Smith</t>
  </si>
  <si>
    <t>Daniel Hawkins</t>
  </si>
  <si>
    <t>Annette Sharp</t>
  </si>
  <si>
    <t>Anne Davis</t>
  </si>
  <si>
    <t>Taylor Espinoza</t>
  </si>
  <si>
    <t>Kelly Walsh</t>
  </si>
  <si>
    <t>Raven Avila</t>
  </si>
  <si>
    <t>Samuel Coleman</t>
  </si>
  <si>
    <t>Melissa Yoder</t>
  </si>
  <si>
    <t>Christina Macias</t>
  </si>
  <si>
    <t>AC575652</t>
  </si>
  <si>
    <t>4B9FF7C6</t>
  </si>
  <si>
    <t>A238859A</t>
  </si>
  <si>
    <t>496E3E66</t>
  </si>
  <si>
    <t>8815A7F4</t>
  </si>
  <si>
    <t>8589B5FE</t>
  </si>
  <si>
    <t>2A1942C5</t>
  </si>
  <si>
    <t>FC96D49E</t>
  </si>
  <si>
    <t>70C27417</t>
  </si>
  <si>
    <t>EFFD10EE</t>
  </si>
  <si>
    <t>1A9F3CFC</t>
  </si>
  <si>
    <t>0266136B</t>
  </si>
  <si>
    <t>25BB81B3</t>
  </si>
  <si>
    <t>94A7ACD1</t>
  </si>
  <si>
    <t>5272FA06</t>
  </si>
  <si>
    <t>16D77B91</t>
  </si>
  <si>
    <t>0BC0FD01</t>
  </si>
  <si>
    <t>02F5ECEC</t>
  </si>
  <si>
    <t>79FFF9CE</t>
  </si>
  <si>
    <t>FCBBC806</t>
  </si>
  <si>
    <t>F11C641A</t>
  </si>
  <si>
    <t>D24308A8</t>
  </si>
  <si>
    <t>00ABE844</t>
  </si>
  <si>
    <t>11F8FD45</t>
  </si>
  <si>
    <t>01C4D1D3</t>
  </si>
  <si>
    <t>7BD2698D</t>
  </si>
  <si>
    <t>13D2C768</t>
  </si>
  <si>
    <t>83A21F1E</t>
  </si>
  <si>
    <t>8F2ECE8E</t>
  </si>
  <si>
    <t>34966BA5</t>
  </si>
  <si>
    <t>EC0C5765</t>
  </si>
  <si>
    <t>B9836972</t>
  </si>
  <si>
    <t>5FCDEF01</t>
  </si>
  <si>
    <t>F0CB7A93</t>
  </si>
  <si>
    <t>1714CC47</t>
  </si>
  <si>
    <t>C111999F</t>
  </si>
  <si>
    <t>624AAC6F</t>
  </si>
  <si>
    <t>6BBEC34E</t>
  </si>
  <si>
    <t>4BDF43C3</t>
  </si>
  <si>
    <t>2EF10BD5</t>
  </si>
  <si>
    <t>ABF4B9E6</t>
  </si>
  <si>
    <t>619AE716</t>
  </si>
  <si>
    <t>1B571BB7</t>
  </si>
  <si>
    <t>63AD3343</t>
  </si>
  <si>
    <t>AEEAAF20</t>
  </si>
  <si>
    <t>9284D2B3</t>
  </si>
  <si>
    <t>4A0663C7</t>
  </si>
  <si>
    <t>1AB28803</t>
  </si>
  <si>
    <t>1F7187CF</t>
  </si>
  <si>
    <t>539BDE99</t>
  </si>
  <si>
    <t>B90B8ACA</t>
  </si>
  <si>
    <t>40FE8A6C</t>
  </si>
  <si>
    <t>90C0A1ED</t>
  </si>
  <si>
    <t>6523D2A4</t>
  </si>
  <si>
    <t>874A642C</t>
  </si>
  <si>
    <t>BD3F5CB5</t>
  </si>
  <si>
    <t>0E408CDB</t>
  </si>
  <si>
    <t>D1A14FE4</t>
  </si>
  <si>
    <t>EAF3AFFF</t>
  </si>
  <si>
    <t>4C54C84D</t>
  </si>
  <si>
    <t>EC05E6AA</t>
  </si>
  <si>
    <t>C322A58B</t>
  </si>
  <si>
    <t>8037410E</t>
  </si>
  <si>
    <t>2E14D80C</t>
  </si>
  <si>
    <t>FB1DEB67</t>
  </si>
  <si>
    <t>0B6B7579</t>
  </si>
  <si>
    <t>88F3EDE4</t>
  </si>
  <si>
    <t>028412F6</t>
  </si>
  <si>
    <t>3A1E8B82</t>
  </si>
  <si>
    <t>39ED4E47</t>
  </si>
  <si>
    <t>EA26C305</t>
  </si>
  <si>
    <t>FC4F2AF3</t>
  </si>
  <si>
    <t>5E674176</t>
  </si>
  <si>
    <t>0905AEDB</t>
  </si>
  <si>
    <t>A67AA2BE</t>
  </si>
  <si>
    <t>DB53DF0F</t>
  </si>
  <si>
    <t>D1E288CF</t>
  </si>
  <si>
    <t>E14A9CBE</t>
  </si>
  <si>
    <t>979C64C2</t>
  </si>
  <si>
    <t>37EECE3C</t>
  </si>
  <si>
    <t>5E177756</t>
  </si>
  <si>
    <t>0DDCB8C9</t>
  </si>
  <si>
    <t>966273EE</t>
  </si>
  <si>
    <t>E12813B2</t>
  </si>
  <si>
    <t>4207A1CA</t>
  </si>
  <si>
    <t>8EED66E8</t>
  </si>
  <si>
    <t>9BFFB91B</t>
  </si>
  <si>
    <t>36B0F56F</t>
  </si>
  <si>
    <t>CFBB31EB</t>
  </si>
  <si>
    <t>B9DF063D</t>
  </si>
  <si>
    <t>1FB905A0</t>
  </si>
  <si>
    <t>F265182B</t>
  </si>
  <si>
    <t>39DE7ADB</t>
  </si>
  <si>
    <t>5F1F9069</t>
  </si>
  <si>
    <t>C4C05C0C</t>
  </si>
  <si>
    <t>A05A6F7E</t>
  </si>
  <si>
    <t>B7578DC4</t>
  </si>
  <si>
    <t>41697CDF</t>
  </si>
  <si>
    <t>75AF1F76</t>
  </si>
  <si>
    <t>F44B3191</t>
  </si>
  <si>
    <t>9344DD57</t>
  </si>
  <si>
    <t>30EF6B7E</t>
  </si>
  <si>
    <t>94AE8F45</t>
  </si>
  <si>
    <t>21B0D2D2</t>
  </si>
  <si>
    <t>461657B1</t>
  </si>
  <si>
    <t>C4774D25</t>
  </si>
  <si>
    <t>B7E28824</t>
  </si>
  <si>
    <t>514F631D</t>
  </si>
  <si>
    <t>8A47AB36</t>
  </si>
  <si>
    <t>81C3C915</t>
  </si>
  <si>
    <t>9F61ABCE</t>
  </si>
  <si>
    <t>55DBAC82</t>
  </si>
  <si>
    <t>1D7D038E</t>
  </si>
  <si>
    <t>2EA91809</t>
  </si>
  <si>
    <t>90F00B3A</t>
  </si>
  <si>
    <t>2F255C8D</t>
  </si>
  <si>
    <t>22011196</t>
  </si>
  <si>
    <t>5DA312FB</t>
  </si>
  <si>
    <t>897238AF</t>
  </si>
  <si>
    <t>98EFC7B0</t>
  </si>
  <si>
    <t>C3952405</t>
  </si>
  <si>
    <t>4F1E57DB</t>
  </si>
  <si>
    <t>783106A7</t>
  </si>
  <si>
    <t>652BDDD5</t>
  </si>
  <si>
    <t>4D13A19C</t>
  </si>
  <si>
    <t>DBD441E3</t>
  </si>
  <si>
    <t>931A5276</t>
  </si>
  <si>
    <t>4562A836</t>
  </si>
  <si>
    <t>461A53F4</t>
  </si>
  <si>
    <t>652B078B</t>
  </si>
  <si>
    <t>F4FBF1CA</t>
  </si>
  <si>
    <t>DD19FC69</t>
  </si>
  <si>
    <t>6F3F9956</t>
  </si>
  <si>
    <t>C9E5CF17</t>
  </si>
  <si>
    <t>B3EF7C6F</t>
  </si>
  <si>
    <t>1A593D56</t>
  </si>
  <si>
    <t>874B6632</t>
  </si>
  <si>
    <t>3925E6C3</t>
  </si>
  <si>
    <t>6E0681C1</t>
  </si>
  <si>
    <t>1289AD2E</t>
  </si>
  <si>
    <t>FFCC7672</t>
  </si>
  <si>
    <t>350F1520</t>
  </si>
  <si>
    <t>B4440859</t>
  </si>
  <si>
    <t>59BC4BC1</t>
  </si>
  <si>
    <t>917B9AD6</t>
  </si>
  <si>
    <t>FF724F98</t>
  </si>
  <si>
    <t>3BAC0BFE</t>
  </si>
  <si>
    <t>BEFB05F6</t>
  </si>
  <si>
    <t>2C22067D</t>
  </si>
  <si>
    <t>7CE0F31D</t>
  </si>
  <si>
    <t>590C7137</t>
  </si>
  <si>
    <t>E9BCC899</t>
  </si>
  <si>
    <t>C0795B0D</t>
  </si>
  <si>
    <t>30A052DC</t>
  </si>
  <si>
    <t>7C91BDA3</t>
  </si>
  <si>
    <t>993F54B7</t>
  </si>
  <si>
    <t>F05F7ECD</t>
  </si>
  <si>
    <t>B8380ED4</t>
  </si>
  <si>
    <t>4E75AD5C</t>
  </si>
  <si>
    <t>D7AABD1D</t>
  </si>
  <si>
    <t>9EFA4B2D</t>
  </si>
  <si>
    <t>8D11DF37</t>
  </si>
  <si>
    <t>B31D3F84</t>
  </si>
  <si>
    <t>964A7BD1</t>
  </si>
  <si>
    <t>10D20225</t>
  </si>
  <si>
    <t>5FADF637</t>
  </si>
  <si>
    <t>921C6048</t>
  </si>
  <si>
    <t>27CC966F</t>
  </si>
  <si>
    <t>6FFF525B</t>
  </si>
  <si>
    <t>13608517</t>
  </si>
  <si>
    <t>A31B0174</t>
  </si>
  <si>
    <t>A2ECE2CE</t>
  </si>
  <si>
    <t>809E3989</t>
  </si>
  <si>
    <t>DA76C5BC</t>
  </si>
  <si>
    <t>4A0F00ED</t>
  </si>
  <si>
    <t>0DB7A8EF</t>
  </si>
  <si>
    <t>CDCE7CB8</t>
  </si>
  <si>
    <t>4648C60E</t>
  </si>
  <si>
    <t>4CDF54A9</t>
  </si>
  <si>
    <t>9B647E68</t>
  </si>
  <si>
    <t>D7922B47</t>
  </si>
  <si>
    <t>4924C2D8</t>
  </si>
  <si>
    <t>02DB2492</t>
  </si>
  <si>
    <t>EC76FFB4</t>
  </si>
  <si>
    <t>D0CE3733</t>
  </si>
  <si>
    <t>DC1F5B77</t>
  </si>
  <si>
    <t>2D9085AB</t>
  </si>
  <si>
    <t>EAFFA6DF</t>
  </si>
  <si>
    <t>208BFA64</t>
  </si>
  <si>
    <t>372A72DA</t>
  </si>
  <si>
    <t>C0607CC8</t>
  </si>
  <si>
    <t>1F9620AA</t>
  </si>
  <si>
    <t>451E4A80</t>
  </si>
  <si>
    <t>EEFFA5A9</t>
  </si>
  <si>
    <t>76693B5A</t>
  </si>
  <si>
    <t>E1CD8318</t>
  </si>
  <si>
    <t>9432AADC</t>
  </si>
  <si>
    <t>0FC91F86</t>
  </si>
  <si>
    <t>79770B82</t>
  </si>
  <si>
    <t>31DEEFF3</t>
  </si>
  <si>
    <t>sports</t>
  </si>
  <si>
    <t>Customer_Name</t>
  </si>
  <si>
    <t>Customer_ID</t>
  </si>
  <si>
    <t>Month</t>
  </si>
  <si>
    <t>Year</t>
  </si>
  <si>
    <t>Month_year</t>
  </si>
  <si>
    <t xml:space="preserve">Profit_margin </t>
  </si>
  <si>
    <t>Average_price</t>
  </si>
  <si>
    <t>Row Labels</t>
  </si>
  <si>
    <t>Grand Total</t>
  </si>
  <si>
    <t>Sum of Sales</t>
  </si>
  <si>
    <t>Apr-2022</t>
  </si>
  <si>
    <t>Apr-2025</t>
  </si>
  <si>
    <t>Aug-2024</t>
  </si>
  <si>
    <t>Dec-2024</t>
  </si>
  <si>
    <t>Feb-2025</t>
  </si>
  <si>
    <t>Jan-2025</t>
  </si>
  <si>
    <t>Jul-2024</t>
  </si>
  <si>
    <t>Jul-2025</t>
  </si>
  <si>
    <t>Jun-2025</t>
  </si>
  <si>
    <t>Mar-2025</t>
  </si>
  <si>
    <t>May-2025</t>
  </si>
  <si>
    <t>Nov-2024</t>
  </si>
  <si>
    <t>Oct-2024</t>
  </si>
  <si>
    <t>Sep-2024</t>
  </si>
  <si>
    <t>Sum of Profit</t>
  </si>
  <si>
    <t>Total Sales</t>
  </si>
  <si>
    <t>Total Profit</t>
  </si>
  <si>
    <t>Avg. Profit Margin</t>
  </si>
  <si>
    <t>Total Orders</t>
  </si>
  <si>
    <t>Avg. Price per Unit</t>
  </si>
  <si>
    <t xml:space="preserve">Sum of Profit_margin </t>
  </si>
  <si>
    <t>Total Sales &amp; Profit by Category</t>
  </si>
  <si>
    <t>Monthly Sales Trend</t>
  </si>
  <si>
    <t>Sales by Region</t>
  </si>
  <si>
    <t>Top 10 Products by Sales</t>
  </si>
  <si>
    <t>High_Profit</t>
  </si>
  <si>
    <t>Sum of Quantity</t>
  </si>
  <si>
    <t>(All)</t>
  </si>
  <si>
    <t>Bar</t>
  </si>
  <si>
    <t>Sum of Average_price</t>
  </si>
  <si>
    <t>Sum of Quantity_Returned</t>
  </si>
  <si>
    <t>Sum of Refund_Amount</t>
  </si>
  <si>
    <t>Monthly Return Trend</t>
  </si>
  <si>
    <t>Refund Amount by Return Reason</t>
  </si>
  <si>
    <t>Monthly Return Quantity Trend</t>
  </si>
  <si>
    <t>Refund Loss by Reason</t>
  </si>
  <si>
    <t>Avg. Return Tate</t>
  </si>
  <si>
    <t>t7</t>
  </si>
  <si>
    <t>t11</t>
  </si>
  <si>
    <t>t15</t>
  </si>
  <si>
    <t>t18</t>
  </si>
  <si>
    <t>t4</t>
  </si>
  <si>
    <t>Count of High_Profit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</si>
</sst>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2">
    <xf numFmtId="0" fontId="0" fillId="0" borderId="0"/>
    <xf numFmtId="9" fontId="3" fillId="0" borderId="0" applyFont="0" applyFill="0" applyBorder="0" applyAlignment="0" applyProtection="0"/>
  </cellStyleXfs>
  <cellXfs count="31">
    <xf numFmtId="0" fontId="0" fillId="0" borderId="0" xfId="0"/>
    <xf numFmtId="0" fontId="0" fillId="0" borderId="0" xfId="0"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9" fontId="0" fillId="0" borderId="1" xfId="1" applyFont="1" applyBorder="1" applyAlignment="1">
      <alignment horizontal="center"/>
    </xf>
    <xf numFmtId="0" fontId="0" fillId="0" borderId="0" xfId="0" pivotButton="1"/>
    <xf numFmtId="0" fontId="0" fillId="0" borderId="0" xfId="0" applyAlignment="1">
      <alignment horizontal="left"/>
    </xf>
    <xf numFmtId="2" fontId="0" fillId="0" borderId="2" xfId="0" applyNumberFormat="1" applyBorder="1" applyAlignment="1">
      <alignment horizontal="center"/>
    </xf>
    <xf numFmtId="2" fontId="0" fillId="2" borderId="2" xfId="0" applyNumberFormat="1" applyFill="1" applyBorder="1" applyAlignment="1">
      <alignment horizontal="center"/>
    </xf>
    <xf numFmtId="2" fontId="1" fillId="0" borderId="3" xfId="0" applyNumberFormat="1" applyFont="1" applyBorder="1" applyAlignment="1">
      <alignment horizontal="center" vertical="top"/>
    </xf>
    <xf numFmtId="0" fontId="2" fillId="0" borderId="4" xfId="0" applyFont="1" applyBorder="1" applyAlignment="1">
      <alignment horizontal="center" vertical="top"/>
    </xf>
    <xf numFmtId="0" fontId="2" fillId="0" borderId="4" xfId="0" applyFont="1" applyBorder="1" applyAlignment="1">
      <alignment horizontal="center"/>
    </xf>
    <xf numFmtId="0" fontId="1" fillId="0" borderId="4" xfId="0" applyFont="1" applyBorder="1" applyAlignment="1">
      <alignment horizontal="center" vertical="top"/>
    </xf>
    <xf numFmtId="1" fontId="1" fillId="0" borderId="4" xfId="0" applyNumberFormat="1" applyFont="1" applyBorder="1" applyAlignment="1">
      <alignment horizontal="center" vertical="top"/>
    </xf>
    <xf numFmtId="2" fontId="1" fillId="0" borderId="4" xfId="0" applyNumberFormat="1" applyFont="1" applyBorder="1" applyAlignment="1">
      <alignment horizontal="center" vertical="top"/>
    </xf>
    <xf numFmtId="2" fontId="4" fillId="0" borderId="4" xfId="0" applyNumberFormat="1" applyFont="1" applyBorder="1" applyAlignment="1">
      <alignment horizontal="center" vertical="top"/>
    </xf>
    <xf numFmtId="0" fontId="0" fillId="0" borderId="4" xfId="0" applyBorder="1" applyAlignment="1">
      <alignment horizontal="center"/>
    </xf>
    <xf numFmtId="2" fontId="0" fillId="0" borderId="4" xfId="0" applyNumberFormat="1" applyBorder="1" applyAlignment="1">
      <alignment horizontal="center"/>
    </xf>
    <xf numFmtId="2" fontId="0" fillId="0" borderId="5" xfId="0" applyNumberFormat="1" applyBorder="1" applyAlignment="1">
      <alignment horizontal="center"/>
    </xf>
    <xf numFmtId="164" fontId="0" fillId="0" borderId="6" xfId="0" applyNumberFormat="1" applyBorder="1" applyAlignment="1">
      <alignment horizontal="center"/>
    </xf>
    <xf numFmtId="0" fontId="0" fillId="0" borderId="6" xfId="0" applyBorder="1" applyAlignment="1">
      <alignment horizontal="center"/>
    </xf>
    <xf numFmtId="1" fontId="0" fillId="0" borderId="6" xfId="0" applyNumberFormat="1" applyBorder="1" applyAlignment="1">
      <alignment horizontal="center"/>
    </xf>
    <xf numFmtId="2" fontId="0" fillId="0" borderId="6" xfId="0" applyNumberFormat="1" applyBorder="1" applyAlignment="1">
      <alignment horizontal="center"/>
    </xf>
    <xf numFmtId="9" fontId="0" fillId="0" borderId="6" xfId="1" applyFont="1" applyBorder="1" applyAlignment="1">
      <alignment horizontal="center"/>
    </xf>
    <xf numFmtId="9" fontId="0" fillId="0" borderId="0" xfId="0" applyNumberFormat="1"/>
    <xf numFmtId="1" fontId="0" fillId="0" borderId="0" xfId="0" applyNumberFormat="1"/>
    <xf numFmtId="0" fontId="0" fillId="3" borderId="0" xfId="0" applyFill="1"/>
    <xf numFmtId="2" fontId="0" fillId="0" borderId="0" xfId="0" applyNumberFormat="1"/>
    <xf numFmtId="0" fontId="0" fillId="0" borderId="0" xfId="0" applyNumberFormat="1"/>
  </cellXfs>
  <cellStyles count="2">
    <cellStyle name="Normal" xfId="0" builtinId="0"/>
    <cellStyle name="Percent" xfId="1" builtinId="5"/>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5BE3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Sales!PivotTable2</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Sales'!$B$3</c:f>
              <c:strCache>
                <c:ptCount val="1"/>
                <c:pt idx="0">
                  <c:v>Sum of Average_price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Sales'!$A$4:$A$5</c:f>
              <c:strCache>
                <c:ptCount val="1"/>
                <c:pt idx="0">
                  <c:v>Books</c:v>
                </c:pt>
              </c:strCache>
            </c:strRef>
          </c:cat>
          <c:val>
            <c:numRef>
              <c:f>'Pivot Sales'!$B$4:$B$5</c:f>
              <c:numCache>
                <c:formatCode>0</c:formatCode>
                <c:ptCount val="1"/>
                <c:pt idx="0">
                  <c:v>3039.65</c:v>
                </c:pt>
              </c:numCache>
            </c:numRef>
          </c:val>
          <c:extLst>
            <c:ext xmlns:c16="http://schemas.microsoft.com/office/drawing/2014/chart" uri="{C3380CC4-5D6E-409C-BE32-E72D297353CC}">
              <c16:uniqueId val="{00000000-2C65-4BC2-8FE5-48140C83309B}"/>
            </c:ext>
          </c:extLst>
        </c:ser>
        <c:ser>
          <c:idx val="1"/>
          <c:order val="1"/>
          <c:tx>
            <c:strRef>
              <c:f>'Pivot Sales'!$C$3</c:f>
              <c:strCache>
                <c:ptCount val="1"/>
                <c:pt idx="0">
                  <c:v>Sum of Profit_margin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Sales'!$A$4:$A$5</c:f>
              <c:strCache>
                <c:ptCount val="1"/>
                <c:pt idx="0">
                  <c:v>Books</c:v>
                </c:pt>
              </c:strCache>
            </c:strRef>
          </c:cat>
          <c:val>
            <c:numRef>
              <c:f>'Pivot Sales'!$C$4:$C$5</c:f>
              <c:numCache>
                <c:formatCode>0%</c:formatCode>
                <c:ptCount val="1"/>
                <c:pt idx="0">
                  <c:v>2.924474221171447</c:v>
                </c:pt>
              </c:numCache>
            </c:numRef>
          </c:val>
          <c:extLst>
            <c:ext xmlns:c16="http://schemas.microsoft.com/office/drawing/2014/chart" uri="{C3380CC4-5D6E-409C-BE32-E72D297353CC}">
              <c16:uniqueId val="{00000001-2C65-4BC2-8FE5-48140C83309B}"/>
            </c:ext>
          </c:extLst>
        </c:ser>
        <c:ser>
          <c:idx val="2"/>
          <c:order val="2"/>
          <c:tx>
            <c:strRef>
              <c:f>'Pivot Sales'!$D$3</c:f>
              <c:strCache>
                <c:ptCount val="1"/>
                <c:pt idx="0">
                  <c:v>Sum of Sales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Sales'!$A$4:$A$5</c:f>
              <c:strCache>
                <c:ptCount val="1"/>
                <c:pt idx="0">
                  <c:v>Books</c:v>
                </c:pt>
              </c:strCache>
            </c:strRef>
          </c:cat>
          <c:val>
            <c:numRef>
              <c:f>'Pivot Sales'!$D$4:$D$5</c:f>
              <c:numCache>
                <c:formatCode>0</c:formatCode>
                <c:ptCount val="1"/>
                <c:pt idx="0">
                  <c:v>10364.459999999999</c:v>
                </c:pt>
              </c:numCache>
            </c:numRef>
          </c:val>
          <c:extLst>
            <c:ext xmlns:c16="http://schemas.microsoft.com/office/drawing/2014/chart" uri="{C3380CC4-5D6E-409C-BE32-E72D297353CC}">
              <c16:uniqueId val="{00000002-2C65-4BC2-8FE5-48140C83309B}"/>
            </c:ext>
          </c:extLst>
        </c:ser>
        <c:ser>
          <c:idx val="3"/>
          <c:order val="3"/>
          <c:tx>
            <c:strRef>
              <c:f>'Pivot Sales'!$E$3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Sales'!$A$4:$A$5</c:f>
              <c:strCache>
                <c:ptCount val="1"/>
                <c:pt idx="0">
                  <c:v>Books</c:v>
                </c:pt>
              </c:strCache>
            </c:strRef>
          </c:cat>
          <c:val>
            <c:numRef>
              <c:f>'Pivot Sales'!$E$4:$E$5</c:f>
              <c:numCache>
                <c:formatCode>0</c:formatCode>
                <c:ptCount val="1"/>
                <c:pt idx="0">
                  <c:v>2331.08</c:v>
                </c:pt>
              </c:numCache>
            </c:numRef>
          </c:val>
          <c:extLst>
            <c:ext xmlns:c16="http://schemas.microsoft.com/office/drawing/2014/chart" uri="{C3380CC4-5D6E-409C-BE32-E72D297353CC}">
              <c16:uniqueId val="{00000003-2C65-4BC2-8FE5-48140C83309B}"/>
            </c:ext>
          </c:extLst>
        </c:ser>
        <c:dLbls>
          <c:dLblPos val="outEnd"/>
          <c:showLegendKey val="0"/>
          <c:showVal val="1"/>
          <c:showCatName val="0"/>
          <c:showSerName val="0"/>
          <c:showPercent val="0"/>
          <c:showBubbleSize val="0"/>
        </c:dLbls>
        <c:gapWidth val="100"/>
        <c:overlap val="-24"/>
        <c:axId val="695882111"/>
        <c:axId val="695878751"/>
      </c:barChart>
      <c:catAx>
        <c:axId val="695882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878751"/>
        <c:crosses val="autoZero"/>
        <c:auto val="1"/>
        <c:lblAlgn val="ctr"/>
        <c:lblOffset val="100"/>
        <c:noMultiLvlLbl val="0"/>
      </c:catAx>
      <c:valAx>
        <c:axId val="695878751"/>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69588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Sales!PivotTable3</c:name>
    <c:fmtId val="0"/>
  </c:pivotSource>
  <c:chart>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7346261469382"/>
          <c:y val="6.0013157624226474E-2"/>
          <c:w val="0.88012991081685077"/>
          <c:h val="0.72088728492271803"/>
        </c:manualLayout>
      </c:layout>
      <c:lineChart>
        <c:grouping val="standard"/>
        <c:varyColors val="0"/>
        <c:ser>
          <c:idx val="0"/>
          <c:order val="0"/>
          <c:tx>
            <c:strRef>
              <c:f>'Pivot Sales'!$H$3</c:f>
              <c:strCache>
                <c:ptCount val="1"/>
                <c:pt idx="0">
                  <c:v>Sum of Sales</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Sales'!$G$4:$G$18</c:f>
              <c:strCache>
                <c:ptCount val="14"/>
                <c:pt idx="0">
                  <c:v>Apr-2022</c:v>
                </c:pt>
                <c:pt idx="1">
                  <c:v>Apr-2025</c:v>
                </c:pt>
                <c:pt idx="2">
                  <c:v>Aug-2024</c:v>
                </c:pt>
                <c:pt idx="3">
                  <c:v>Dec-2024</c:v>
                </c:pt>
                <c:pt idx="4">
                  <c:v>Feb-2025</c:v>
                </c:pt>
                <c:pt idx="5">
                  <c:v>Jan-2025</c:v>
                </c:pt>
                <c:pt idx="6">
                  <c:v>Jul-2024</c:v>
                </c:pt>
                <c:pt idx="7">
                  <c:v>Jul-2025</c:v>
                </c:pt>
                <c:pt idx="8">
                  <c:v>Jun-2025</c:v>
                </c:pt>
                <c:pt idx="9">
                  <c:v>Mar-2025</c:v>
                </c:pt>
                <c:pt idx="10">
                  <c:v>May-2025</c:v>
                </c:pt>
                <c:pt idx="11">
                  <c:v>Nov-2024</c:v>
                </c:pt>
                <c:pt idx="12">
                  <c:v>Oct-2024</c:v>
                </c:pt>
                <c:pt idx="13">
                  <c:v>Sep-2024</c:v>
                </c:pt>
              </c:strCache>
            </c:strRef>
          </c:cat>
          <c:val>
            <c:numRef>
              <c:f>'Pivot Sales'!$H$4:$H$18</c:f>
              <c:numCache>
                <c:formatCode>0</c:formatCode>
                <c:ptCount val="14"/>
                <c:pt idx="0">
                  <c:v>891.16</c:v>
                </c:pt>
                <c:pt idx="1">
                  <c:v>11872.4</c:v>
                </c:pt>
                <c:pt idx="2">
                  <c:v>3486.8300000000004</c:v>
                </c:pt>
                <c:pt idx="3">
                  <c:v>1140.0900000000001</c:v>
                </c:pt>
                <c:pt idx="4">
                  <c:v>5741.92</c:v>
                </c:pt>
                <c:pt idx="5">
                  <c:v>4589.57</c:v>
                </c:pt>
                <c:pt idx="6">
                  <c:v>5103.32</c:v>
                </c:pt>
                <c:pt idx="7">
                  <c:v>6842.18</c:v>
                </c:pt>
                <c:pt idx="8">
                  <c:v>9985.9</c:v>
                </c:pt>
                <c:pt idx="9">
                  <c:v>5410.6899999999987</c:v>
                </c:pt>
                <c:pt idx="10">
                  <c:v>5224.1399999999994</c:v>
                </c:pt>
                <c:pt idx="11">
                  <c:v>3332.75</c:v>
                </c:pt>
                <c:pt idx="12">
                  <c:v>5697.23</c:v>
                </c:pt>
                <c:pt idx="13">
                  <c:v>6521.05</c:v>
                </c:pt>
              </c:numCache>
            </c:numRef>
          </c:val>
          <c:smooth val="0"/>
          <c:extLst>
            <c:ext xmlns:c16="http://schemas.microsoft.com/office/drawing/2014/chart" uri="{C3380CC4-5D6E-409C-BE32-E72D297353CC}">
              <c16:uniqueId val="{00000000-5B34-4F0E-9B9A-3A067052D102}"/>
            </c:ext>
          </c:extLst>
        </c:ser>
        <c:ser>
          <c:idx val="1"/>
          <c:order val="1"/>
          <c:tx>
            <c:strRef>
              <c:f>'Pivot Sales'!$I$3</c:f>
              <c:strCache>
                <c:ptCount val="1"/>
                <c:pt idx="0">
                  <c:v>Sum of Profit</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Sales'!$G$4:$G$18</c:f>
              <c:strCache>
                <c:ptCount val="14"/>
                <c:pt idx="0">
                  <c:v>Apr-2022</c:v>
                </c:pt>
                <c:pt idx="1">
                  <c:v>Apr-2025</c:v>
                </c:pt>
                <c:pt idx="2">
                  <c:v>Aug-2024</c:v>
                </c:pt>
                <c:pt idx="3">
                  <c:v>Dec-2024</c:v>
                </c:pt>
                <c:pt idx="4">
                  <c:v>Feb-2025</c:v>
                </c:pt>
                <c:pt idx="5">
                  <c:v>Jan-2025</c:v>
                </c:pt>
                <c:pt idx="6">
                  <c:v>Jul-2024</c:v>
                </c:pt>
                <c:pt idx="7">
                  <c:v>Jul-2025</c:v>
                </c:pt>
                <c:pt idx="8">
                  <c:v>Jun-2025</c:v>
                </c:pt>
                <c:pt idx="9">
                  <c:v>Mar-2025</c:v>
                </c:pt>
                <c:pt idx="10">
                  <c:v>May-2025</c:v>
                </c:pt>
                <c:pt idx="11">
                  <c:v>Nov-2024</c:v>
                </c:pt>
                <c:pt idx="12">
                  <c:v>Oct-2024</c:v>
                </c:pt>
                <c:pt idx="13">
                  <c:v>Sep-2024</c:v>
                </c:pt>
              </c:strCache>
            </c:strRef>
          </c:cat>
          <c:val>
            <c:numRef>
              <c:f>'Pivot Sales'!$I$4:$I$18</c:f>
              <c:numCache>
                <c:formatCode>0</c:formatCode>
                <c:ptCount val="14"/>
                <c:pt idx="0">
                  <c:v>302.51</c:v>
                </c:pt>
                <c:pt idx="1">
                  <c:v>3477.8399999999997</c:v>
                </c:pt>
                <c:pt idx="2">
                  <c:v>624.97000000000014</c:v>
                </c:pt>
                <c:pt idx="3">
                  <c:v>315.91000000000008</c:v>
                </c:pt>
                <c:pt idx="4">
                  <c:v>1269.4499999999994</c:v>
                </c:pt>
                <c:pt idx="5">
                  <c:v>1236.1999999999998</c:v>
                </c:pt>
                <c:pt idx="6">
                  <c:v>1011.3499999999999</c:v>
                </c:pt>
                <c:pt idx="7">
                  <c:v>1667.8700000000001</c:v>
                </c:pt>
                <c:pt idx="8">
                  <c:v>2304.91</c:v>
                </c:pt>
                <c:pt idx="9">
                  <c:v>1622.8799999999992</c:v>
                </c:pt>
                <c:pt idx="10">
                  <c:v>704.05000000000007</c:v>
                </c:pt>
                <c:pt idx="11">
                  <c:v>844.95999999999992</c:v>
                </c:pt>
                <c:pt idx="12">
                  <c:v>1527.7400000000002</c:v>
                </c:pt>
                <c:pt idx="13">
                  <c:v>1251.4099999999996</c:v>
                </c:pt>
              </c:numCache>
            </c:numRef>
          </c:val>
          <c:smooth val="0"/>
          <c:extLst>
            <c:ext xmlns:c16="http://schemas.microsoft.com/office/drawing/2014/chart" uri="{C3380CC4-5D6E-409C-BE32-E72D297353CC}">
              <c16:uniqueId val="{00000001-5B34-4F0E-9B9A-3A067052D102}"/>
            </c:ext>
          </c:extLst>
        </c:ser>
        <c:dLbls>
          <c:dLblPos val="ctr"/>
          <c:showLegendKey val="0"/>
          <c:showVal val="1"/>
          <c:showCatName val="0"/>
          <c:showSerName val="0"/>
          <c:showPercent val="0"/>
          <c:showBubbleSize val="0"/>
        </c:dLbls>
        <c:marker val="1"/>
        <c:smooth val="0"/>
        <c:axId val="695877791"/>
        <c:axId val="698283119"/>
      </c:lineChart>
      <c:catAx>
        <c:axId val="69587779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8283119"/>
        <c:crosses val="autoZero"/>
        <c:auto val="1"/>
        <c:lblAlgn val="ctr"/>
        <c:lblOffset val="100"/>
        <c:noMultiLvlLbl val="0"/>
      </c:catAx>
      <c:valAx>
        <c:axId val="698283119"/>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587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Sales!PivotTable6</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1189851268592E-2"/>
          <c:y val="5.0925925925925923E-2"/>
          <c:w val="0.91349606299212593"/>
          <c:h val="0.64824620880723238"/>
        </c:manualLayout>
      </c:layout>
      <c:barChart>
        <c:barDir val="col"/>
        <c:grouping val="stacked"/>
        <c:varyColors val="0"/>
        <c:ser>
          <c:idx val="0"/>
          <c:order val="0"/>
          <c:tx>
            <c:strRef>
              <c:f>'Pivot Sales'!$X$3</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Sales'!$W$4:$W$8</c:f>
              <c:strCache>
                <c:ptCount val="4"/>
                <c:pt idx="0">
                  <c:v>Christopher Boyer</c:v>
                </c:pt>
                <c:pt idx="1">
                  <c:v>Emily Richards</c:v>
                </c:pt>
                <c:pt idx="2">
                  <c:v>Jasmine Reed</c:v>
                </c:pt>
                <c:pt idx="3">
                  <c:v>Nicholas Curry</c:v>
                </c:pt>
              </c:strCache>
            </c:strRef>
          </c:cat>
          <c:val>
            <c:numRef>
              <c:f>'Pivot Sales'!$X$4:$X$8</c:f>
              <c:numCache>
                <c:formatCode>0</c:formatCode>
                <c:ptCount val="4"/>
                <c:pt idx="0">
                  <c:v>1107.8800000000001</c:v>
                </c:pt>
                <c:pt idx="1">
                  <c:v>1134.1600000000003</c:v>
                </c:pt>
                <c:pt idx="2">
                  <c:v>1020.4899999999996</c:v>
                </c:pt>
                <c:pt idx="3">
                  <c:v>1171.1999999999998</c:v>
                </c:pt>
              </c:numCache>
            </c:numRef>
          </c:val>
          <c:extLst>
            <c:ext xmlns:c16="http://schemas.microsoft.com/office/drawing/2014/chart" uri="{C3380CC4-5D6E-409C-BE32-E72D297353CC}">
              <c16:uniqueId val="{00000000-B050-4739-B1A7-F9589A2CAD8A}"/>
            </c:ext>
          </c:extLst>
        </c:ser>
        <c:ser>
          <c:idx val="1"/>
          <c:order val="1"/>
          <c:tx>
            <c:strRef>
              <c:f>'Pivot Sales'!$Y$3</c:f>
              <c:strCache>
                <c:ptCount val="1"/>
                <c:pt idx="0">
                  <c:v>Sum of Sales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Sales'!$W$4:$W$8</c:f>
              <c:strCache>
                <c:ptCount val="4"/>
                <c:pt idx="0">
                  <c:v>Christopher Boyer</c:v>
                </c:pt>
                <c:pt idx="1">
                  <c:v>Emily Richards</c:v>
                </c:pt>
                <c:pt idx="2">
                  <c:v>Jasmine Reed</c:v>
                </c:pt>
                <c:pt idx="3">
                  <c:v>Nicholas Curry</c:v>
                </c:pt>
              </c:strCache>
            </c:strRef>
          </c:cat>
          <c:val>
            <c:numRef>
              <c:f>'Pivot Sales'!$Y$4:$Y$8</c:f>
              <c:numCache>
                <c:formatCode>0</c:formatCode>
                <c:ptCount val="4"/>
                <c:pt idx="0">
                  <c:v>2851.73</c:v>
                </c:pt>
                <c:pt idx="1">
                  <c:v>4024.8</c:v>
                </c:pt>
                <c:pt idx="2">
                  <c:v>2578.3999999999996</c:v>
                </c:pt>
                <c:pt idx="3">
                  <c:v>3231.72</c:v>
                </c:pt>
              </c:numCache>
            </c:numRef>
          </c:val>
          <c:extLst>
            <c:ext xmlns:c16="http://schemas.microsoft.com/office/drawing/2014/chart" uri="{C3380CC4-5D6E-409C-BE32-E72D297353CC}">
              <c16:uniqueId val="{00000001-B050-4739-B1A7-F9589A2CAD8A}"/>
            </c:ext>
          </c:extLst>
        </c:ser>
        <c:ser>
          <c:idx val="2"/>
          <c:order val="2"/>
          <c:tx>
            <c:strRef>
              <c:f>'Pivot Sales'!$Z$3</c:f>
              <c:strCache>
                <c:ptCount val="1"/>
                <c:pt idx="0">
                  <c:v>Sum of Quantity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Sales'!$W$4:$W$8</c:f>
              <c:strCache>
                <c:ptCount val="4"/>
                <c:pt idx="0">
                  <c:v>Christopher Boyer</c:v>
                </c:pt>
                <c:pt idx="1">
                  <c:v>Emily Richards</c:v>
                </c:pt>
                <c:pt idx="2">
                  <c:v>Jasmine Reed</c:v>
                </c:pt>
                <c:pt idx="3">
                  <c:v>Nicholas Curry</c:v>
                </c:pt>
              </c:strCache>
            </c:strRef>
          </c:cat>
          <c:val>
            <c:numRef>
              <c:f>'Pivot Sales'!$Z$4:$Z$8</c:f>
              <c:numCache>
                <c:formatCode>0</c:formatCode>
                <c:ptCount val="4"/>
                <c:pt idx="0">
                  <c:v>7</c:v>
                </c:pt>
                <c:pt idx="1">
                  <c:v>10</c:v>
                </c:pt>
                <c:pt idx="2">
                  <c:v>10</c:v>
                </c:pt>
                <c:pt idx="3">
                  <c:v>9</c:v>
                </c:pt>
              </c:numCache>
            </c:numRef>
          </c:val>
          <c:extLst>
            <c:ext xmlns:c16="http://schemas.microsoft.com/office/drawing/2014/chart" uri="{C3380CC4-5D6E-409C-BE32-E72D297353CC}">
              <c16:uniqueId val="{00000002-B050-4739-B1A7-F9589A2CAD8A}"/>
            </c:ext>
          </c:extLst>
        </c:ser>
        <c:dLbls>
          <c:dLblPos val="ctr"/>
          <c:showLegendKey val="0"/>
          <c:showVal val="1"/>
          <c:showCatName val="0"/>
          <c:showSerName val="0"/>
          <c:showPercent val="0"/>
          <c:showBubbleSize val="0"/>
        </c:dLbls>
        <c:gapWidth val="150"/>
        <c:overlap val="100"/>
        <c:axId val="211832415"/>
        <c:axId val="211849215"/>
      </c:barChart>
      <c:catAx>
        <c:axId val="2118324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49215"/>
        <c:crosses val="autoZero"/>
        <c:auto val="1"/>
        <c:lblAlgn val="ctr"/>
        <c:lblOffset val="100"/>
        <c:noMultiLvlLbl val="0"/>
      </c:catAx>
      <c:valAx>
        <c:axId val="211849215"/>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21183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Sales!PivotTable5</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 Sales'!$T$3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1D-4CE7-AEED-F9627EDF4B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1D-4CE7-AEED-F9627EDF4B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1D-4CE7-AEED-F9627EDF4B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1D-4CE7-AEED-F9627EDF4B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1D-4CE7-AEED-F9627EDF4B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11D-4CE7-AEED-F9627EDF4B4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11D-4CE7-AEED-F9627EDF4B4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11D-4CE7-AEED-F9627EDF4B4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11D-4CE7-AEED-F9627EDF4B4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11D-4CE7-AEED-F9627EDF4B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Sales'!$S$4:$S$14</c:f>
              <c:strCache>
                <c:ptCount val="10"/>
                <c:pt idx="0">
                  <c:v>Cookware Set</c:v>
                </c:pt>
                <c:pt idx="1">
                  <c:v>Dumbbells</c:v>
                </c:pt>
                <c:pt idx="2">
                  <c:v>Jeans</c:v>
                </c:pt>
                <c:pt idx="3">
                  <c:v>Laptop</c:v>
                </c:pt>
                <c:pt idx="4">
                  <c:v>Microwave</c:v>
                </c:pt>
                <c:pt idx="5">
                  <c:v>Running Shoes</c:v>
                </c:pt>
                <c:pt idx="6">
                  <c:v>Smartphone</c:v>
                </c:pt>
                <c:pt idx="7">
                  <c:v>Tennis Racket</c:v>
                </c:pt>
                <c:pt idx="8">
                  <c:v>Textbook</c:v>
                </c:pt>
                <c:pt idx="9">
                  <c:v>T-Shirt</c:v>
                </c:pt>
              </c:strCache>
            </c:strRef>
          </c:cat>
          <c:val>
            <c:numRef>
              <c:f>'Pivot Sales'!$T$4:$T$14</c:f>
              <c:numCache>
                <c:formatCode>0</c:formatCode>
                <c:ptCount val="10"/>
                <c:pt idx="0">
                  <c:v>4871.12</c:v>
                </c:pt>
                <c:pt idx="1">
                  <c:v>8613.3799999999992</c:v>
                </c:pt>
                <c:pt idx="2">
                  <c:v>5239.8599999999997</c:v>
                </c:pt>
                <c:pt idx="3">
                  <c:v>4310.83</c:v>
                </c:pt>
                <c:pt idx="4">
                  <c:v>3826.15</c:v>
                </c:pt>
                <c:pt idx="5">
                  <c:v>8264.2699999999986</c:v>
                </c:pt>
                <c:pt idx="6">
                  <c:v>5510.3000000000011</c:v>
                </c:pt>
                <c:pt idx="7">
                  <c:v>6170.1</c:v>
                </c:pt>
                <c:pt idx="8">
                  <c:v>7183.4499999999989</c:v>
                </c:pt>
                <c:pt idx="9">
                  <c:v>8380.2200000000012</c:v>
                </c:pt>
              </c:numCache>
            </c:numRef>
          </c:val>
          <c:extLst>
            <c:ext xmlns:c16="http://schemas.microsoft.com/office/drawing/2014/chart" uri="{C3380CC4-5D6E-409C-BE32-E72D297353CC}">
              <c16:uniqueId val="{00000000-0AC4-471D-8488-FF536B5D5908}"/>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Sales!PivotTable4</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Sales'!$M$3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Sales'!$L$4:$L$5</c:f>
              <c:strCache>
                <c:ptCount val="1"/>
                <c:pt idx="0">
                  <c:v>East</c:v>
                </c:pt>
              </c:strCache>
            </c:strRef>
          </c:cat>
          <c:val>
            <c:numRef>
              <c:f>'Pivot Sales'!$M$4:$M$5</c:f>
              <c:numCache>
                <c:formatCode>0</c:formatCode>
                <c:ptCount val="1"/>
                <c:pt idx="0">
                  <c:v>75839.230000000025</c:v>
                </c:pt>
              </c:numCache>
            </c:numRef>
          </c:val>
          <c:extLst>
            <c:ext xmlns:c16="http://schemas.microsoft.com/office/drawing/2014/chart" uri="{C3380CC4-5D6E-409C-BE32-E72D297353CC}">
              <c16:uniqueId val="{00000000-B331-4887-9FD0-126B05A30BA6}"/>
            </c:ext>
          </c:extLst>
        </c:ser>
        <c:ser>
          <c:idx val="1"/>
          <c:order val="1"/>
          <c:tx>
            <c:strRef>
              <c:f>'Pivot Sales'!$N$3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Sales'!$L$4:$L$5</c:f>
              <c:strCache>
                <c:ptCount val="1"/>
                <c:pt idx="0">
                  <c:v>East</c:v>
                </c:pt>
              </c:strCache>
            </c:strRef>
          </c:cat>
          <c:val>
            <c:numRef>
              <c:f>'Pivot Sales'!$N$4:$N$5</c:f>
              <c:numCache>
                <c:formatCode>0</c:formatCode>
                <c:ptCount val="1"/>
                <c:pt idx="0">
                  <c:v>18162.05</c:v>
                </c:pt>
              </c:numCache>
            </c:numRef>
          </c:val>
          <c:extLst>
            <c:ext xmlns:c16="http://schemas.microsoft.com/office/drawing/2014/chart" uri="{C3380CC4-5D6E-409C-BE32-E72D297353CC}">
              <c16:uniqueId val="{00000001-B331-4887-9FD0-126B05A30BA6}"/>
            </c:ext>
          </c:extLst>
        </c:ser>
        <c:dLbls>
          <c:dLblPos val="outEnd"/>
          <c:showLegendKey val="0"/>
          <c:showVal val="1"/>
          <c:showCatName val="0"/>
          <c:showSerName val="0"/>
          <c:showPercent val="0"/>
          <c:showBubbleSize val="0"/>
        </c:dLbls>
        <c:gapWidth val="115"/>
        <c:overlap val="-20"/>
        <c:axId val="1044311872"/>
        <c:axId val="1044312352"/>
      </c:barChart>
      <c:catAx>
        <c:axId val="10443118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312352"/>
        <c:crosses val="autoZero"/>
        <c:auto val="1"/>
        <c:lblAlgn val="ctr"/>
        <c:lblOffset val="100"/>
        <c:noMultiLvlLbl val="0"/>
      </c:catAx>
      <c:valAx>
        <c:axId val="10443123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31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Sales'!$AD$14</c:f>
              <c:strCache>
                <c:ptCount val="1"/>
                <c:pt idx="0">
                  <c:v>Total</c:v>
                </c:pt>
              </c:strCache>
            </c:strRef>
          </c:tx>
          <c:spPr>
            <a:ln w="28575" cap="rnd">
              <a:solidFill>
                <a:schemeClr val="accent1"/>
              </a:solidFill>
              <a:round/>
            </a:ln>
            <a:effectLst/>
          </c:spPr>
          <c:marker>
            <c:symbol val="none"/>
          </c:marker>
          <c:cat>
            <c:strRef>
              <c:f>'Pivot Sales'!$AC$15:$AC$35</c:f>
              <c:strCache>
                <c:ptCount val="20"/>
                <c:pt idx="0">
                  <c:v>Biography</c:v>
                </c:pt>
                <c:pt idx="1">
                  <c:v>Blender</c:v>
                </c:pt>
                <c:pt idx="2">
                  <c:v>Comics</c:v>
                </c:pt>
                <c:pt idx="3">
                  <c:v>Cookware Set</c:v>
                </c:pt>
                <c:pt idx="4">
                  <c:v>Dumbbells</c:v>
                </c:pt>
                <c:pt idx="5">
                  <c:v>Football</c:v>
                </c:pt>
                <c:pt idx="6">
                  <c:v>Headphones</c:v>
                </c:pt>
                <c:pt idx="7">
                  <c:v>Jacket</c:v>
                </c:pt>
                <c:pt idx="8">
                  <c:v>Jeans</c:v>
                </c:pt>
                <c:pt idx="9">
                  <c:v>Laptop</c:v>
                </c:pt>
                <c:pt idx="10">
                  <c:v>Microwave</c:v>
                </c:pt>
                <c:pt idx="11">
                  <c:v>Novel</c:v>
                </c:pt>
                <c:pt idx="12">
                  <c:v>Running Shoes</c:v>
                </c:pt>
                <c:pt idx="13">
                  <c:v>Shirt</c:v>
                </c:pt>
                <c:pt idx="14">
                  <c:v>Smartphone</c:v>
                </c:pt>
                <c:pt idx="15">
                  <c:v>Tablet</c:v>
                </c:pt>
                <c:pt idx="16">
                  <c:v>Tennis Racket</c:v>
                </c:pt>
                <c:pt idx="17">
                  <c:v>Textbook</c:v>
                </c:pt>
                <c:pt idx="18">
                  <c:v>T-Shirt</c:v>
                </c:pt>
                <c:pt idx="19">
                  <c:v>Vacuum Cleaner</c:v>
                </c:pt>
              </c:strCache>
            </c:strRef>
          </c:cat>
          <c:val>
            <c:numRef>
              <c:f>'Pivot Sales'!$AD$15:$AD$35</c:f>
              <c:numCache>
                <c:formatCode>General</c:formatCode>
                <c:ptCount val="20"/>
                <c:pt idx="0">
                  <c:v>1</c:v>
                </c:pt>
                <c:pt idx="1">
                  <c:v>3</c:v>
                </c:pt>
                <c:pt idx="2">
                  <c:v>3</c:v>
                </c:pt>
                <c:pt idx="3">
                  <c:v>3</c:v>
                </c:pt>
                <c:pt idx="4">
                  <c:v>4</c:v>
                </c:pt>
                <c:pt idx="5">
                  <c:v>1</c:v>
                </c:pt>
                <c:pt idx="6">
                  <c:v>1</c:v>
                </c:pt>
                <c:pt idx="7">
                  <c:v>1</c:v>
                </c:pt>
                <c:pt idx="8">
                  <c:v>4</c:v>
                </c:pt>
                <c:pt idx="9">
                  <c:v>4</c:v>
                </c:pt>
                <c:pt idx="10">
                  <c:v>3</c:v>
                </c:pt>
                <c:pt idx="11">
                  <c:v>2</c:v>
                </c:pt>
                <c:pt idx="12">
                  <c:v>3</c:v>
                </c:pt>
                <c:pt idx="13">
                  <c:v>2</c:v>
                </c:pt>
                <c:pt idx="14">
                  <c:v>4</c:v>
                </c:pt>
                <c:pt idx="15">
                  <c:v>3</c:v>
                </c:pt>
                <c:pt idx="16">
                  <c:v>5</c:v>
                </c:pt>
                <c:pt idx="17">
                  <c:v>5</c:v>
                </c:pt>
                <c:pt idx="18">
                  <c:v>4</c:v>
                </c:pt>
                <c:pt idx="19">
                  <c:v>1</c:v>
                </c:pt>
              </c:numCache>
            </c:numRef>
          </c:val>
          <c:smooth val="0"/>
          <c:extLst>
            <c:ext xmlns:c16="http://schemas.microsoft.com/office/drawing/2014/chart" uri="{C3380CC4-5D6E-409C-BE32-E72D297353CC}">
              <c16:uniqueId val="{00000000-000B-4716-9211-B7553079BF5B}"/>
            </c:ext>
          </c:extLst>
        </c:ser>
        <c:dLbls>
          <c:showLegendKey val="0"/>
          <c:showVal val="0"/>
          <c:showCatName val="0"/>
          <c:showSerName val="0"/>
          <c:showPercent val="0"/>
          <c:showBubbleSize val="0"/>
        </c:dLbls>
        <c:smooth val="0"/>
        <c:axId val="2076593984"/>
        <c:axId val="2076594464"/>
      </c:lineChart>
      <c:catAx>
        <c:axId val="207659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594464"/>
        <c:crosses val="autoZero"/>
        <c:auto val="1"/>
        <c:lblAlgn val="ctr"/>
        <c:lblOffset val="100"/>
        <c:noMultiLvlLbl val="0"/>
      </c:catAx>
      <c:valAx>
        <c:axId val="207659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59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Sales'!$AI$14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37-4CEE-A289-E94C6793E7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37-4CEE-A289-E94C6793E7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37-4CEE-A289-E94C6793E7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37-4CEE-A289-E94C6793E7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37-4CEE-A289-E94C6793E7A5}"/>
              </c:ext>
            </c:extLst>
          </c:dPt>
          <c:cat>
            <c:strRef>
              <c:f>'Pivot Sales'!$AH$15:$AH$20</c:f>
              <c:strCache>
                <c:ptCount val="5"/>
                <c:pt idx="0">
                  <c:v>Books</c:v>
                </c:pt>
                <c:pt idx="1">
                  <c:v>Clothing</c:v>
                </c:pt>
                <c:pt idx="2">
                  <c:v>Electronics</c:v>
                </c:pt>
                <c:pt idx="3">
                  <c:v>Home &amp; Kitchen</c:v>
                </c:pt>
                <c:pt idx="4">
                  <c:v>Sports</c:v>
                </c:pt>
              </c:strCache>
            </c:strRef>
          </c:cat>
          <c:val>
            <c:numRef>
              <c:f>'Pivot Sales'!$AI$15:$AI$20</c:f>
              <c:numCache>
                <c:formatCode>0.00</c:formatCode>
                <c:ptCount val="5"/>
                <c:pt idx="0">
                  <c:v>2331.08</c:v>
                </c:pt>
                <c:pt idx="1">
                  <c:v>3871.5000000000005</c:v>
                </c:pt>
                <c:pt idx="2">
                  <c:v>2455.5100000000002</c:v>
                </c:pt>
                <c:pt idx="3">
                  <c:v>2800.9100000000003</c:v>
                </c:pt>
                <c:pt idx="4">
                  <c:v>6703.0499999999993</c:v>
                </c:pt>
              </c:numCache>
            </c:numRef>
          </c:val>
          <c:extLst>
            <c:ext xmlns:c16="http://schemas.microsoft.com/office/drawing/2014/chart" uri="{C3380CC4-5D6E-409C-BE32-E72D297353CC}">
              <c16:uniqueId val="{00000000-0CDA-4AF0-85C7-ACAFC06B8B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Sales!PivotTable8</c:name>
    <c:fmtId val="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 Sales'!$AI$14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F89B-4D3A-8B14-D8F34D94EDB6}"/>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F89B-4D3A-8B14-D8F34D94EDB6}"/>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F89B-4D3A-8B14-D8F34D94EDB6}"/>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F89B-4D3A-8B14-D8F34D94EDB6}"/>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F89B-4D3A-8B14-D8F34D94ED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Sales'!$AH$15:$AH$20</c:f>
              <c:strCache>
                <c:ptCount val="5"/>
                <c:pt idx="0">
                  <c:v>Books</c:v>
                </c:pt>
                <c:pt idx="1">
                  <c:v>Clothing</c:v>
                </c:pt>
                <c:pt idx="2">
                  <c:v>Electronics</c:v>
                </c:pt>
                <c:pt idx="3">
                  <c:v>Home &amp; Kitchen</c:v>
                </c:pt>
                <c:pt idx="4">
                  <c:v>Sports</c:v>
                </c:pt>
              </c:strCache>
            </c:strRef>
          </c:cat>
          <c:val>
            <c:numRef>
              <c:f>'Pivot Sales'!$AI$15:$AI$20</c:f>
              <c:numCache>
                <c:formatCode>0.00</c:formatCode>
                <c:ptCount val="5"/>
                <c:pt idx="0">
                  <c:v>2331.08</c:v>
                </c:pt>
                <c:pt idx="1">
                  <c:v>3871.5000000000005</c:v>
                </c:pt>
                <c:pt idx="2">
                  <c:v>2455.5100000000002</c:v>
                </c:pt>
                <c:pt idx="3">
                  <c:v>2800.9100000000003</c:v>
                </c:pt>
                <c:pt idx="4">
                  <c:v>6703.0499999999993</c:v>
                </c:pt>
              </c:numCache>
            </c:numRef>
          </c:val>
          <c:extLst>
            <c:ext xmlns:c16="http://schemas.microsoft.com/office/drawing/2014/chart" uri="{C3380CC4-5D6E-409C-BE32-E72D297353CC}">
              <c16:uniqueId val="{00000000-FC99-430F-A5A9-058081E461C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Return!PivotTable1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14785651793528E-2"/>
          <c:y val="0.12078703703703704"/>
          <c:w val="0.94292344706911635"/>
          <c:h val="0.66533865558471861"/>
        </c:manualLayout>
      </c:layout>
      <c:lineChart>
        <c:grouping val="standard"/>
        <c:varyColors val="0"/>
        <c:ser>
          <c:idx val="0"/>
          <c:order val="0"/>
          <c:tx>
            <c:strRef>
              <c:f>'Pivot Return'!$B$3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Return'!$A$4:$A$18</c:f>
              <c:strCache>
                <c:ptCount val="14"/>
                <c:pt idx="0">
                  <c:v>Apr-2022</c:v>
                </c:pt>
                <c:pt idx="1">
                  <c:v>Apr-2025</c:v>
                </c:pt>
                <c:pt idx="2">
                  <c:v>Aug-2024</c:v>
                </c:pt>
                <c:pt idx="3">
                  <c:v>Dec-2024</c:v>
                </c:pt>
                <c:pt idx="4">
                  <c:v>Feb-2025</c:v>
                </c:pt>
                <c:pt idx="5">
                  <c:v>Jan-2025</c:v>
                </c:pt>
                <c:pt idx="6">
                  <c:v>Jul-2024</c:v>
                </c:pt>
                <c:pt idx="7">
                  <c:v>Jul-2025</c:v>
                </c:pt>
                <c:pt idx="8">
                  <c:v>Jun-2025</c:v>
                </c:pt>
                <c:pt idx="9">
                  <c:v>Mar-2025</c:v>
                </c:pt>
                <c:pt idx="10">
                  <c:v>May-2025</c:v>
                </c:pt>
                <c:pt idx="11">
                  <c:v>Nov-2024</c:v>
                </c:pt>
                <c:pt idx="12">
                  <c:v>Oct-2024</c:v>
                </c:pt>
                <c:pt idx="13">
                  <c:v>Sep-2024</c:v>
                </c:pt>
              </c:strCache>
            </c:strRef>
          </c:cat>
          <c:val>
            <c:numRef>
              <c:f>'Pivot Return'!$B$4:$B$18</c:f>
              <c:numCache>
                <c:formatCode>0</c:formatCode>
                <c:ptCount val="14"/>
                <c:pt idx="0">
                  <c:v>3</c:v>
                </c:pt>
                <c:pt idx="1">
                  <c:v>7</c:v>
                </c:pt>
                <c:pt idx="2">
                  <c:v>1</c:v>
                </c:pt>
                <c:pt idx="3">
                  <c:v>1</c:v>
                </c:pt>
                <c:pt idx="4">
                  <c:v>2</c:v>
                </c:pt>
                <c:pt idx="5">
                  <c:v>2</c:v>
                </c:pt>
                <c:pt idx="6">
                  <c:v>1</c:v>
                </c:pt>
                <c:pt idx="7">
                  <c:v>2</c:v>
                </c:pt>
                <c:pt idx="8">
                  <c:v>4</c:v>
                </c:pt>
                <c:pt idx="9">
                  <c:v>2</c:v>
                </c:pt>
                <c:pt idx="10">
                  <c:v>8</c:v>
                </c:pt>
                <c:pt idx="11">
                  <c:v>9</c:v>
                </c:pt>
                <c:pt idx="12">
                  <c:v>7</c:v>
                </c:pt>
                <c:pt idx="13">
                  <c:v>3</c:v>
                </c:pt>
              </c:numCache>
            </c:numRef>
          </c:val>
          <c:smooth val="0"/>
          <c:extLst>
            <c:ext xmlns:c16="http://schemas.microsoft.com/office/drawing/2014/chart" uri="{C3380CC4-5D6E-409C-BE32-E72D297353CC}">
              <c16:uniqueId val="{00000000-EA02-48F6-A180-0A7B58D3AA1F}"/>
            </c:ext>
          </c:extLst>
        </c:ser>
        <c:dLbls>
          <c:dLblPos val="ctr"/>
          <c:showLegendKey val="0"/>
          <c:showVal val="1"/>
          <c:showCatName val="0"/>
          <c:showSerName val="0"/>
          <c:showPercent val="0"/>
          <c:showBubbleSize val="0"/>
        </c:dLbls>
        <c:marker val="1"/>
        <c:smooth val="0"/>
        <c:axId val="1174071424"/>
        <c:axId val="1174071904"/>
      </c:lineChart>
      <c:catAx>
        <c:axId val="117407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071904"/>
        <c:crosses val="autoZero"/>
        <c:auto val="1"/>
        <c:lblAlgn val="ctr"/>
        <c:lblOffset val="100"/>
        <c:noMultiLvlLbl val="0"/>
      </c:catAx>
      <c:valAx>
        <c:axId val="11740719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07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Return!PivotTable2</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Refund Loss by Reason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7777777777777779E-2"/>
              <c:y val="-5.04731861198738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6111111111111108E-2"/>
              <c:y val="9.46372239747634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5.555555555555558E-2"/>
              <c:y val="9.46372239747634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7777777777777779E-2"/>
              <c:y val="-5.04731861198738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2222222222222215E-2"/>
              <c:y val="-8.2018927444795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Return'!$E$3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91A3-4A5D-9E49-C9D3423479C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91A3-4A5D-9E49-C9D3423479C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91A3-4A5D-9E49-C9D3423479C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91A3-4A5D-9E49-C9D3423479C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91A3-4A5D-9E49-C9D3423479C0}"/>
              </c:ext>
            </c:extLst>
          </c:dPt>
          <c:dLbls>
            <c:dLbl>
              <c:idx val="0"/>
              <c:layout>
                <c:manualLayout>
                  <c:x val="7.7777777777777779E-2"/>
                  <c:y val="-5.0473186119873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A3-4A5D-9E49-C9D3423479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Return'!$D$4:$D$5</c:f>
              <c:strCache>
                <c:ptCount val="1"/>
                <c:pt idx="0">
                  <c:v>No Longer Needed</c:v>
                </c:pt>
              </c:strCache>
            </c:strRef>
          </c:cat>
          <c:val>
            <c:numRef>
              <c:f>'Pivot Return'!$E$4:$E$5</c:f>
              <c:numCache>
                <c:formatCode>0</c:formatCode>
                <c:ptCount val="1"/>
                <c:pt idx="0">
                  <c:v>787.76</c:v>
                </c:pt>
              </c:numCache>
            </c:numRef>
          </c:val>
          <c:extLst>
            <c:ext xmlns:c16="http://schemas.microsoft.com/office/drawing/2014/chart" uri="{C3380CC4-5D6E-409C-BE32-E72D297353CC}">
              <c16:uniqueId val="{00000000-F114-47C4-BC5E-033BD4604541}"/>
            </c:ext>
          </c:extLst>
        </c:ser>
        <c:dLbls>
          <c:showLegendKey val="0"/>
          <c:showVal val="1"/>
          <c:showCatName val="0"/>
          <c:showSerName val="0"/>
          <c:showPercent val="0"/>
          <c:showBubbleSize val="0"/>
          <c:showLeaderLines val="1"/>
        </c:dLbls>
        <c:firstSliceAng val="4"/>
        <c:holeSize val="57"/>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Sales!PivotTable2</c:name>
    <c:fmtId val="6"/>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pivotFmt>
    </c:pivotFmts>
    <c:plotArea>
      <c:layout/>
      <c:barChart>
        <c:barDir val="col"/>
        <c:grouping val="clustered"/>
        <c:varyColors val="0"/>
        <c:ser>
          <c:idx val="0"/>
          <c:order val="0"/>
          <c:tx>
            <c:strRef>
              <c:f>'Pivot Sales'!$B$3</c:f>
              <c:strCache>
                <c:ptCount val="1"/>
                <c:pt idx="0">
                  <c:v>Sum of Average_price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Sales'!$A$4:$A$5</c:f>
              <c:strCache>
                <c:ptCount val="1"/>
                <c:pt idx="0">
                  <c:v>Books</c:v>
                </c:pt>
              </c:strCache>
            </c:strRef>
          </c:cat>
          <c:val>
            <c:numRef>
              <c:f>'Pivot Sales'!$B$4:$B$5</c:f>
              <c:numCache>
                <c:formatCode>0</c:formatCode>
                <c:ptCount val="1"/>
                <c:pt idx="0">
                  <c:v>3039.65</c:v>
                </c:pt>
              </c:numCache>
            </c:numRef>
          </c:val>
          <c:extLst>
            <c:ext xmlns:c16="http://schemas.microsoft.com/office/drawing/2014/chart" uri="{C3380CC4-5D6E-409C-BE32-E72D297353CC}">
              <c16:uniqueId val="{00000000-1165-4E40-B887-85581CF3369F}"/>
            </c:ext>
          </c:extLst>
        </c:ser>
        <c:ser>
          <c:idx val="1"/>
          <c:order val="1"/>
          <c:tx>
            <c:strRef>
              <c:f>'Pivot Sales'!$C$3</c:f>
              <c:strCache>
                <c:ptCount val="1"/>
                <c:pt idx="0">
                  <c:v>Sum of Profit_margin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Sales'!$A$4:$A$5</c:f>
              <c:strCache>
                <c:ptCount val="1"/>
                <c:pt idx="0">
                  <c:v>Books</c:v>
                </c:pt>
              </c:strCache>
            </c:strRef>
          </c:cat>
          <c:val>
            <c:numRef>
              <c:f>'Pivot Sales'!$C$4:$C$5</c:f>
              <c:numCache>
                <c:formatCode>0%</c:formatCode>
                <c:ptCount val="1"/>
                <c:pt idx="0">
                  <c:v>2.924474221171447</c:v>
                </c:pt>
              </c:numCache>
            </c:numRef>
          </c:val>
          <c:extLst>
            <c:ext xmlns:c16="http://schemas.microsoft.com/office/drawing/2014/chart" uri="{C3380CC4-5D6E-409C-BE32-E72D297353CC}">
              <c16:uniqueId val="{00000001-1165-4E40-B887-85581CF3369F}"/>
            </c:ext>
          </c:extLst>
        </c:ser>
        <c:ser>
          <c:idx val="2"/>
          <c:order val="2"/>
          <c:tx>
            <c:strRef>
              <c:f>'Pivot Sales'!$D$3</c:f>
              <c:strCache>
                <c:ptCount val="1"/>
                <c:pt idx="0">
                  <c:v>Sum of Sales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Sales'!$A$4:$A$5</c:f>
              <c:strCache>
                <c:ptCount val="1"/>
                <c:pt idx="0">
                  <c:v>Books</c:v>
                </c:pt>
              </c:strCache>
            </c:strRef>
          </c:cat>
          <c:val>
            <c:numRef>
              <c:f>'Pivot Sales'!$D$4:$D$5</c:f>
              <c:numCache>
                <c:formatCode>0</c:formatCode>
                <c:ptCount val="1"/>
                <c:pt idx="0">
                  <c:v>10364.459999999999</c:v>
                </c:pt>
              </c:numCache>
            </c:numRef>
          </c:val>
          <c:extLst>
            <c:ext xmlns:c16="http://schemas.microsoft.com/office/drawing/2014/chart" uri="{C3380CC4-5D6E-409C-BE32-E72D297353CC}">
              <c16:uniqueId val="{00000002-1165-4E40-B887-85581CF3369F}"/>
            </c:ext>
          </c:extLst>
        </c:ser>
        <c:ser>
          <c:idx val="3"/>
          <c:order val="3"/>
          <c:tx>
            <c:strRef>
              <c:f>'Pivot Sales'!$E$3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Sales'!$A$4:$A$5</c:f>
              <c:strCache>
                <c:ptCount val="1"/>
                <c:pt idx="0">
                  <c:v>Books</c:v>
                </c:pt>
              </c:strCache>
            </c:strRef>
          </c:cat>
          <c:val>
            <c:numRef>
              <c:f>'Pivot Sales'!$E$4:$E$5</c:f>
              <c:numCache>
                <c:formatCode>0</c:formatCode>
                <c:ptCount val="1"/>
                <c:pt idx="0">
                  <c:v>2331.08</c:v>
                </c:pt>
              </c:numCache>
            </c:numRef>
          </c:val>
          <c:extLst>
            <c:ext xmlns:c16="http://schemas.microsoft.com/office/drawing/2014/chart" uri="{C3380CC4-5D6E-409C-BE32-E72D297353CC}">
              <c16:uniqueId val="{00000003-1165-4E40-B887-85581CF3369F}"/>
            </c:ext>
          </c:extLst>
        </c:ser>
        <c:dLbls>
          <c:dLblPos val="outEnd"/>
          <c:showLegendKey val="0"/>
          <c:showVal val="1"/>
          <c:showCatName val="0"/>
          <c:showSerName val="0"/>
          <c:showPercent val="0"/>
          <c:showBubbleSize val="0"/>
        </c:dLbls>
        <c:gapWidth val="100"/>
        <c:overlap val="-24"/>
        <c:axId val="695882111"/>
        <c:axId val="695878751"/>
      </c:barChart>
      <c:catAx>
        <c:axId val="695882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695878751"/>
        <c:crosses val="autoZero"/>
        <c:auto val="1"/>
        <c:lblAlgn val="ctr"/>
        <c:lblOffset val="100"/>
        <c:noMultiLvlLbl val="0"/>
      </c:catAx>
      <c:valAx>
        <c:axId val="695878751"/>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69588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Sales!PivotTable3</c:name>
    <c:fmtId val="15"/>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rgbClr val="00B05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7346261469382"/>
          <c:y val="6.0013157624226474E-2"/>
          <c:w val="0.88012991081685077"/>
          <c:h val="0.72088728492271803"/>
        </c:manualLayout>
      </c:layout>
      <c:lineChart>
        <c:grouping val="standard"/>
        <c:varyColors val="0"/>
        <c:ser>
          <c:idx val="0"/>
          <c:order val="0"/>
          <c:tx>
            <c:strRef>
              <c:f>'Pivot Sales'!$H$3</c:f>
              <c:strCache>
                <c:ptCount val="1"/>
                <c:pt idx="0">
                  <c:v>Sum of Sales</c:v>
                </c:pt>
              </c:strCache>
            </c:strRef>
          </c:tx>
          <c:spPr>
            <a:ln w="31750" cap="rnd">
              <a:solidFill>
                <a:srgbClr val="00B05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Sales'!$G$4:$G$18</c:f>
              <c:strCache>
                <c:ptCount val="14"/>
                <c:pt idx="0">
                  <c:v>Apr-2022</c:v>
                </c:pt>
                <c:pt idx="1">
                  <c:v>Apr-2025</c:v>
                </c:pt>
                <c:pt idx="2">
                  <c:v>Aug-2024</c:v>
                </c:pt>
                <c:pt idx="3">
                  <c:v>Dec-2024</c:v>
                </c:pt>
                <c:pt idx="4">
                  <c:v>Feb-2025</c:v>
                </c:pt>
                <c:pt idx="5">
                  <c:v>Jan-2025</c:v>
                </c:pt>
                <c:pt idx="6">
                  <c:v>Jul-2024</c:v>
                </c:pt>
                <c:pt idx="7">
                  <c:v>Jul-2025</c:v>
                </c:pt>
                <c:pt idx="8">
                  <c:v>Jun-2025</c:v>
                </c:pt>
                <c:pt idx="9">
                  <c:v>Mar-2025</c:v>
                </c:pt>
                <c:pt idx="10">
                  <c:v>May-2025</c:v>
                </c:pt>
                <c:pt idx="11">
                  <c:v>Nov-2024</c:v>
                </c:pt>
                <c:pt idx="12">
                  <c:v>Oct-2024</c:v>
                </c:pt>
                <c:pt idx="13">
                  <c:v>Sep-2024</c:v>
                </c:pt>
              </c:strCache>
            </c:strRef>
          </c:cat>
          <c:val>
            <c:numRef>
              <c:f>'Pivot Sales'!$H$4:$H$18</c:f>
              <c:numCache>
                <c:formatCode>0</c:formatCode>
                <c:ptCount val="14"/>
                <c:pt idx="0">
                  <c:v>891.16</c:v>
                </c:pt>
                <c:pt idx="1">
                  <c:v>11872.4</c:v>
                </c:pt>
                <c:pt idx="2">
                  <c:v>3486.8300000000004</c:v>
                </c:pt>
                <c:pt idx="3">
                  <c:v>1140.0900000000001</c:v>
                </c:pt>
                <c:pt idx="4">
                  <c:v>5741.92</c:v>
                </c:pt>
                <c:pt idx="5">
                  <c:v>4589.57</c:v>
                </c:pt>
                <c:pt idx="6">
                  <c:v>5103.32</c:v>
                </c:pt>
                <c:pt idx="7">
                  <c:v>6842.18</c:v>
                </c:pt>
                <c:pt idx="8">
                  <c:v>9985.9</c:v>
                </c:pt>
                <c:pt idx="9">
                  <c:v>5410.6899999999987</c:v>
                </c:pt>
                <c:pt idx="10">
                  <c:v>5224.1399999999994</c:v>
                </c:pt>
                <c:pt idx="11">
                  <c:v>3332.75</c:v>
                </c:pt>
                <c:pt idx="12">
                  <c:v>5697.23</c:v>
                </c:pt>
                <c:pt idx="13">
                  <c:v>6521.05</c:v>
                </c:pt>
              </c:numCache>
            </c:numRef>
          </c:val>
          <c:smooth val="0"/>
          <c:extLst>
            <c:ext xmlns:c16="http://schemas.microsoft.com/office/drawing/2014/chart" uri="{C3380CC4-5D6E-409C-BE32-E72D297353CC}">
              <c16:uniqueId val="{00000000-2BB4-4205-A883-BE4930A7FEF7}"/>
            </c:ext>
          </c:extLst>
        </c:ser>
        <c:ser>
          <c:idx val="1"/>
          <c:order val="1"/>
          <c:tx>
            <c:strRef>
              <c:f>'Pivot Sales'!$I$3</c:f>
              <c:strCache>
                <c:ptCount val="1"/>
                <c:pt idx="0">
                  <c:v>Sum of Profit</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Sales'!$G$4:$G$18</c:f>
              <c:strCache>
                <c:ptCount val="14"/>
                <c:pt idx="0">
                  <c:v>Apr-2022</c:v>
                </c:pt>
                <c:pt idx="1">
                  <c:v>Apr-2025</c:v>
                </c:pt>
                <c:pt idx="2">
                  <c:v>Aug-2024</c:v>
                </c:pt>
                <c:pt idx="3">
                  <c:v>Dec-2024</c:v>
                </c:pt>
                <c:pt idx="4">
                  <c:v>Feb-2025</c:v>
                </c:pt>
                <c:pt idx="5">
                  <c:v>Jan-2025</c:v>
                </c:pt>
                <c:pt idx="6">
                  <c:v>Jul-2024</c:v>
                </c:pt>
                <c:pt idx="7">
                  <c:v>Jul-2025</c:v>
                </c:pt>
                <c:pt idx="8">
                  <c:v>Jun-2025</c:v>
                </c:pt>
                <c:pt idx="9">
                  <c:v>Mar-2025</c:v>
                </c:pt>
                <c:pt idx="10">
                  <c:v>May-2025</c:v>
                </c:pt>
                <c:pt idx="11">
                  <c:v>Nov-2024</c:v>
                </c:pt>
                <c:pt idx="12">
                  <c:v>Oct-2024</c:v>
                </c:pt>
                <c:pt idx="13">
                  <c:v>Sep-2024</c:v>
                </c:pt>
              </c:strCache>
            </c:strRef>
          </c:cat>
          <c:val>
            <c:numRef>
              <c:f>'Pivot Sales'!$I$4:$I$18</c:f>
              <c:numCache>
                <c:formatCode>0</c:formatCode>
                <c:ptCount val="14"/>
                <c:pt idx="0">
                  <c:v>302.51</c:v>
                </c:pt>
                <c:pt idx="1">
                  <c:v>3477.8399999999997</c:v>
                </c:pt>
                <c:pt idx="2">
                  <c:v>624.97000000000014</c:v>
                </c:pt>
                <c:pt idx="3">
                  <c:v>315.91000000000008</c:v>
                </c:pt>
                <c:pt idx="4">
                  <c:v>1269.4499999999994</c:v>
                </c:pt>
                <c:pt idx="5">
                  <c:v>1236.1999999999998</c:v>
                </c:pt>
                <c:pt idx="6">
                  <c:v>1011.3499999999999</c:v>
                </c:pt>
                <c:pt idx="7">
                  <c:v>1667.8700000000001</c:v>
                </c:pt>
                <c:pt idx="8">
                  <c:v>2304.91</c:v>
                </c:pt>
                <c:pt idx="9">
                  <c:v>1622.8799999999992</c:v>
                </c:pt>
                <c:pt idx="10">
                  <c:v>704.05000000000007</c:v>
                </c:pt>
                <c:pt idx="11">
                  <c:v>844.95999999999992</c:v>
                </c:pt>
                <c:pt idx="12">
                  <c:v>1527.7400000000002</c:v>
                </c:pt>
                <c:pt idx="13">
                  <c:v>1251.4099999999996</c:v>
                </c:pt>
              </c:numCache>
            </c:numRef>
          </c:val>
          <c:smooth val="0"/>
          <c:extLst>
            <c:ext xmlns:c16="http://schemas.microsoft.com/office/drawing/2014/chart" uri="{C3380CC4-5D6E-409C-BE32-E72D297353CC}">
              <c16:uniqueId val="{00000001-2BB4-4205-A883-BE4930A7FEF7}"/>
            </c:ext>
          </c:extLst>
        </c:ser>
        <c:dLbls>
          <c:dLblPos val="ctr"/>
          <c:showLegendKey val="0"/>
          <c:showVal val="1"/>
          <c:showCatName val="0"/>
          <c:showSerName val="0"/>
          <c:showPercent val="0"/>
          <c:showBubbleSize val="0"/>
        </c:dLbls>
        <c:marker val="1"/>
        <c:smooth val="0"/>
        <c:axId val="695877791"/>
        <c:axId val="698283119"/>
      </c:lineChart>
      <c:catAx>
        <c:axId val="69587779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698283119"/>
        <c:crosses val="autoZero"/>
        <c:auto val="1"/>
        <c:lblAlgn val="ctr"/>
        <c:lblOffset val="100"/>
        <c:noMultiLvlLbl val="0"/>
      </c:catAx>
      <c:valAx>
        <c:axId val="698283119"/>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69587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Sales!PivotTable4</c:name>
    <c:fmtId val="2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Sales'!$M$3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Sales'!$L$4:$L$5</c:f>
              <c:strCache>
                <c:ptCount val="1"/>
                <c:pt idx="0">
                  <c:v>East</c:v>
                </c:pt>
              </c:strCache>
            </c:strRef>
          </c:cat>
          <c:val>
            <c:numRef>
              <c:f>'Pivot Sales'!$M$4:$M$5</c:f>
              <c:numCache>
                <c:formatCode>0</c:formatCode>
                <c:ptCount val="1"/>
                <c:pt idx="0">
                  <c:v>75839.230000000025</c:v>
                </c:pt>
              </c:numCache>
            </c:numRef>
          </c:val>
          <c:extLst>
            <c:ext xmlns:c16="http://schemas.microsoft.com/office/drawing/2014/chart" uri="{C3380CC4-5D6E-409C-BE32-E72D297353CC}">
              <c16:uniqueId val="{00000000-DCA1-460C-A334-E24ADFBD98BF}"/>
            </c:ext>
          </c:extLst>
        </c:ser>
        <c:ser>
          <c:idx val="1"/>
          <c:order val="1"/>
          <c:tx>
            <c:strRef>
              <c:f>'Pivot Sales'!$N$3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Sales'!$L$4:$L$5</c:f>
              <c:strCache>
                <c:ptCount val="1"/>
                <c:pt idx="0">
                  <c:v>East</c:v>
                </c:pt>
              </c:strCache>
            </c:strRef>
          </c:cat>
          <c:val>
            <c:numRef>
              <c:f>'Pivot Sales'!$N$4:$N$5</c:f>
              <c:numCache>
                <c:formatCode>0</c:formatCode>
                <c:ptCount val="1"/>
                <c:pt idx="0">
                  <c:v>18162.05</c:v>
                </c:pt>
              </c:numCache>
            </c:numRef>
          </c:val>
          <c:extLst>
            <c:ext xmlns:c16="http://schemas.microsoft.com/office/drawing/2014/chart" uri="{C3380CC4-5D6E-409C-BE32-E72D297353CC}">
              <c16:uniqueId val="{00000001-DCA1-460C-A334-E24ADFBD98BF}"/>
            </c:ext>
          </c:extLst>
        </c:ser>
        <c:dLbls>
          <c:dLblPos val="outEnd"/>
          <c:showLegendKey val="0"/>
          <c:showVal val="1"/>
          <c:showCatName val="0"/>
          <c:showSerName val="0"/>
          <c:showPercent val="0"/>
          <c:showBubbleSize val="0"/>
        </c:dLbls>
        <c:gapWidth val="115"/>
        <c:overlap val="-20"/>
        <c:axId val="1044311872"/>
        <c:axId val="1044312352"/>
      </c:barChart>
      <c:catAx>
        <c:axId val="1044311872"/>
        <c:scaling>
          <c:orientation val="minMax"/>
        </c:scaling>
        <c:delete val="0"/>
        <c:axPos val="l"/>
        <c:numFmt formatCode="General" sourceLinked="1"/>
        <c:majorTickMark val="none"/>
        <c:minorTickMark val="none"/>
        <c:tickLblPos val="nextTo"/>
        <c:spPr>
          <a:noFill/>
          <a:ln w="12700" cap="flat" cmpd="sng" algn="ctr">
            <a:solidFill>
              <a:srgbClr val="00B050"/>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1044312352"/>
        <c:crosses val="autoZero"/>
        <c:auto val="1"/>
        <c:lblAlgn val="ctr"/>
        <c:lblOffset val="100"/>
        <c:noMultiLvlLbl val="0"/>
      </c:catAx>
      <c:valAx>
        <c:axId val="10443123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104431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Sales!PivotTable5</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manualLayout>
          <c:layoutTarget val="inner"/>
          <c:xMode val="edge"/>
          <c:yMode val="edge"/>
          <c:x val="5.0531173343274886E-2"/>
          <c:y val="4.5789419983675028E-2"/>
          <c:w val="0.55757756133321223"/>
          <c:h val="0.8901616091291753"/>
        </c:manualLayout>
      </c:layout>
      <c:doughnutChart>
        <c:varyColors val="1"/>
        <c:ser>
          <c:idx val="0"/>
          <c:order val="0"/>
          <c:tx>
            <c:strRef>
              <c:f>'Pivot Sales'!$T$3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5F-43C4-BDDB-68666D32EB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5F-43C4-BDDB-68666D32EB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5F-43C4-BDDB-68666D32EB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5F-43C4-BDDB-68666D32EB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5F-43C4-BDDB-68666D32EB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5F-43C4-BDDB-68666D32EB9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5F-43C4-BDDB-68666D32EB9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05F-43C4-BDDB-68666D32EB9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05F-43C4-BDDB-68666D32EB9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05F-43C4-BDDB-68666D32EB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Sales'!$S$4:$S$14</c:f>
              <c:strCache>
                <c:ptCount val="10"/>
                <c:pt idx="0">
                  <c:v>Cookware Set</c:v>
                </c:pt>
                <c:pt idx="1">
                  <c:v>Dumbbells</c:v>
                </c:pt>
                <c:pt idx="2">
                  <c:v>Jeans</c:v>
                </c:pt>
                <c:pt idx="3">
                  <c:v>Laptop</c:v>
                </c:pt>
                <c:pt idx="4">
                  <c:v>Microwave</c:v>
                </c:pt>
                <c:pt idx="5">
                  <c:v>Running Shoes</c:v>
                </c:pt>
                <c:pt idx="6">
                  <c:v>Smartphone</c:v>
                </c:pt>
                <c:pt idx="7">
                  <c:v>Tennis Racket</c:v>
                </c:pt>
                <c:pt idx="8">
                  <c:v>Textbook</c:v>
                </c:pt>
                <c:pt idx="9">
                  <c:v>T-Shirt</c:v>
                </c:pt>
              </c:strCache>
            </c:strRef>
          </c:cat>
          <c:val>
            <c:numRef>
              <c:f>'Pivot Sales'!$T$4:$T$14</c:f>
              <c:numCache>
                <c:formatCode>0</c:formatCode>
                <c:ptCount val="10"/>
                <c:pt idx="0">
                  <c:v>4871.12</c:v>
                </c:pt>
                <c:pt idx="1">
                  <c:v>8613.3799999999992</c:v>
                </c:pt>
                <c:pt idx="2">
                  <c:v>5239.8599999999997</c:v>
                </c:pt>
                <c:pt idx="3">
                  <c:v>4310.83</c:v>
                </c:pt>
                <c:pt idx="4">
                  <c:v>3826.15</c:v>
                </c:pt>
                <c:pt idx="5">
                  <c:v>8264.2699999999986</c:v>
                </c:pt>
                <c:pt idx="6">
                  <c:v>5510.3000000000011</c:v>
                </c:pt>
                <c:pt idx="7">
                  <c:v>6170.1</c:v>
                </c:pt>
                <c:pt idx="8">
                  <c:v>7183.4499999999989</c:v>
                </c:pt>
                <c:pt idx="9">
                  <c:v>8380.2200000000012</c:v>
                </c:pt>
              </c:numCache>
            </c:numRef>
          </c:val>
          <c:extLst>
            <c:ext xmlns:c16="http://schemas.microsoft.com/office/drawing/2014/chart" uri="{C3380CC4-5D6E-409C-BE32-E72D297353CC}">
              <c16:uniqueId val="{00000014-005F-43C4-BDDB-68666D32EB9E}"/>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Entry>
      <c:legendEntry>
        <c:idx val="4"/>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Entry>
      <c:legendEntry>
        <c:idx val="5"/>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Entry>
      <c:legendEntry>
        <c:idx val="6"/>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Entry>
      <c:legendEntry>
        <c:idx val="7"/>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Entry>
      <c:legendEntry>
        <c:idx val="8"/>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Entry>
      <c:legendEntry>
        <c:idx val="9"/>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Entry>
      <c:layout>
        <c:manualLayout>
          <c:xMode val="edge"/>
          <c:yMode val="edge"/>
          <c:x val="0.67455474484569189"/>
          <c:y val="7.1241657463869013E-2"/>
          <c:w val="0.32146654594782564"/>
          <c:h val="0.85751668507226197"/>
        </c:manualLayout>
      </c:layout>
      <c:overlay val="0"/>
      <c:spPr>
        <a:noFill/>
        <a:ln>
          <a:solidFill>
            <a:srgbClr val="00B05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Sales!PivotTable6</c:name>
    <c:fmtId val="9"/>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11863371649186E-2"/>
          <c:y val="5.0925813760459439E-2"/>
          <c:w val="0.91349606299212593"/>
          <c:h val="0.64824620880723238"/>
        </c:manualLayout>
      </c:layout>
      <c:barChart>
        <c:barDir val="col"/>
        <c:grouping val="stacked"/>
        <c:varyColors val="0"/>
        <c:ser>
          <c:idx val="0"/>
          <c:order val="0"/>
          <c:tx>
            <c:strRef>
              <c:f>'Pivot Sales'!$X$3</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Sales'!$W$4:$W$8</c:f>
              <c:strCache>
                <c:ptCount val="4"/>
                <c:pt idx="0">
                  <c:v>Christopher Boyer</c:v>
                </c:pt>
                <c:pt idx="1">
                  <c:v>Emily Richards</c:v>
                </c:pt>
                <c:pt idx="2">
                  <c:v>Jasmine Reed</c:v>
                </c:pt>
                <c:pt idx="3">
                  <c:v>Nicholas Curry</c:v>
                </c:pt>
              </c:strCache>
            </c:strRef>
          </c:cat>
          <c:val>
            <c:numRef>
              <c:f>'Pivot Sales'!$X$4:$X$8</c:f>
              <c:numCache>
                <c:formatCode>0</c:formatCode>
                <c:ptCount val="4"/>
                <c:pt idx="0">
                  <c:v>1107.8800000000001</c:v>
                </c:pt>
                <c:pt idx="1">
                  <c:v>1134.1600000000003</c:v>
                </c:pt>
                <c:pt idx="2">
                  <c:v>1020.4899999999996</c:v>
                </c:pt>
                <c:pt idx="3">
                  <c:v>1171.1999999999998</c:v>
                </c:pt>
              </c:numCache>
            </c:numRef>
          </c:val>
          <c:extLst>
            <c:ext xmlns:c16="http://schemas.microsoft.com/office/drawing/2014/chart" uri="{C3380CC4-5D6E-409C-BE32-E72D297353CC}">
              <c16:uniqueId val="{00000000-4730-4CB9-9ECC-A6BA8516F0D6}"/>
            </c:ext>
          </c:extLst>
        </c:ser>
        <c:ser>
          <c:idx val="1"/>
          <c:order val="1"/>
          <c:tx>
            <c:strRef>
              <c:f>'Pivot Sales'!$Y$3</c:f>
              <c:strCache>
                <c:ptCount val="1"/>
                <c:pt idx="0">
                  <c:v>Sum of Sales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Sales'!$W$4:$W$8</c:f>
              <c:strCache>
                <c:ptCount val="4"/>
                <c:pt idx="0">
                  <c:v>Christopher Boyer</c:v>
                </c:pt>
                <c:pt idx="1">
                  <c:v>Emily Richards</c:v>
                </c:pt>
                <c:pt idx="2">
                  <c:v>Jasmine Reed</c:v>
                </c:pt>
                <c:pt idx="3">
                  <c:v>Nicholas Curry</c:v>
                </c:pt>
              </c:strCache>
            </c:strRef>
          </c:cat>
          <c:val>
            <c:numRef>
              <c:f>'Pivot Sales'!$Y$4:$Y$8</c:f>
              <c:numCache>
                <c:formatCode>0</c:formatCode>
                <c:ptCount val="4"/>
                <c:pt idx="0">
                  <c:v>2851.73</c:v>
                </c:pt>
                <c:pt idx="1">
                  <c:v>4024.8</c:v>
                </c:pt>
                <c:pt idx="2">
                  <c:v>2578.3999999999996</c:v>
                </c:pt>
                <c:pt idx="3">
                  <c:v>3231.72</c:v>
                </c:pt>
              </c:numCache>
            </c:numRef>
          </c:val>
          <c:extLst>
            <c:ext xmlns:c16="http://schemas.microsoft.com/office/drawing/2014/chart" uri="{C3380CC4-5D6E-409C-BE32-E72D297353CC}">
              <c16:uniqueId val="{00000001-4730-4CB9-9ECC-A6BA8516F0D6}"/>
            </c:ext>
          </c:extLst>
        </c:ser>
        <c:ser>
          <c:idx val="2"/>
          <c:order val="2"/>
          <c:tx>
            <c:strRef>
              <c:f>'Pivot Sales'!$Z$3</c:f>
              <c:strCache>
                <c:ptCount val="1"/>
                <c:pt idx="0">
                  <c:v>Sum of Quantity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Sales'!$W$4:$W$8</c:f>
              <c:strCache>
                <c:ptCount val="4"/>
                <c:pt idx="0">
                  <c:v>Christopher Boyer</c:v>
                </c:pt>
                <c:pt idx="1">
                  <c:v>Emily Richards</c:v>
                </c:pt>
                <c:pt idx="2">
                  <c:v>Jasmine Reed</c:v>
                </c:pt>
                <c:pt idx="3">
                  <c:v>Nicholas Curry</c:v>
                </c:pt>
              </c:strCache>
            </c:strRef>
          </c:cat>
          <c:val>
            <c:numRef>
              <c:f>'Pivot Sales'!$Z$4:$Z$8</c:f>
              <c:numCache>
                <c:formatCode>0</c:formatCode>
                <c:ptCount val="4"/>
                <c:pt idx="0">
                  <c:v>7</c:v>
                </c:pt>
                <c:pt idx="1">
                  <c:v>10</c:v>
                </c:pt>
                <c:pt idx="2">
                  <c:v>10</c:v>
                </c:pt>
                <c:pt idx="3">
                  <c:v>9</c:v>
                </c:pt>
              </c:numCache>
            </c:numRef>
          </c:val>
          <c:extLst>
            <c:ext xmlns:c16="http://schemas.microsoft.com/office/drawing/2014/chart" uri="{C3380CC4-5D6E-409C-BE32-E72D297353CC}">
              <c16:uniqueId val="{00000002-4730-4CB9-9ECC-A6BA8516F0D6}"/>
            </c:ext>
          </c:extLst>
        </c:ser>
        <c:dLbls>
          <c:dLblPos val="ctr"/>
          <c:showLegendKey val="0"/>
          <c:showVal val="1"/>
          <c:showCatName val="0"/>
          <c:showSerName val="0"/>
          <c:showPercent val="0"/>
          <c:showBubbleSize val="0"/>
        </c:dLbls>
        <c:gapWidth val="150"/>
        <c:overlap val="100"/>
        <c:axId val="211832415"/>
        <c:axId val="211849215"/>
      </c:barChart>
      <c:catAx>
        <c:axId val="2118324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211849215"/>
        <c:crosses val="autoZero"/>
        <c:auto val="1"/>
        <c:lblAlgn val="ctr"/>
        <c:lblOffset val="100"/>
        <c:noMultiLvlLbl val="0"/>
      </c:catAx>
      <c:valAx>
        <c:axId val="211849215"/>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211832415"/>
        <c:crosses val="autoZero"/>
        <c:crossBetween val="between"/>
      </c:valAx>
      <c:spPr>
        <a:noFill/>
        <a:ln>
          <a:noFill/>
        </a:ln>
        <a:effectLst/>
      </c:spPr>
    </c:plotArea>
    <c:legend>
      <c:legendPos val="l"/>
      <c:layout>
        <c:manualLayout>
          <c:xMode val="edge"/>
          <c:yMode val="edge"/>
          <c:x val="1.6630459406619971E-2"/>
          <c:y val="1.756973675612121E-2"/>
          <c:w val="0.20925810254751576"/>
          <c:h val="0.1911017800665369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Sales!PivotTable8</c:name>
    <c:fmtId val="1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8.3442145856732639E-2"/>
              <c:y val="-0.10493145717479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8308610759161E-2"/>
              <c:y val="0.19237433815378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7566767548785819E-2"/>
              <c:y val="0.1282495587691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5.2700302646357465E-2"/>
              <c:y val="0.1399086095663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8.7833837743929097E-2"/>
              <c:y val="-0.10493145717479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3283353343772E-2"/>
          <c:y val="0.15081992045222428"/>
          <c:w val="0.53831872202457687"/>
          <c:h val="0.71456348559717064"/>
        </c:manualLayout>
      </c:layout>
      <c:doughnutChart>
        <c:varyColors val="1"/>
        <c:ser>
          <c:idx val="0"/>
          <c:order val="0"/>
          <c:tx>
            <c:strRef>
              <c:f>'Pivot Sales'!$AI$14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271B-4E4B-B207-806F2AA497DE}"/>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71B-4E4B-B207-806F2AA497DE}"/>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271B-4E4B-B207-806F2AA497DE}"/>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271B-4E4B-B207-806F2AA497DE}"/>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271B-4E4B-B207-806F2AA497DE}"/>
              </c:ext>
            </c:extLst>
          </c:dPt>
          <c:dLbls>
            <c:dLbl>
              <c:idx val="0"/>
              <c:layout>
                <c:manualLayout>
                  <c:x val="8.3442145856732639E-2"/>
                  <c:y val="-0.104931457174791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B-4E4B-B207-806F2AA497DE}"/>
                </c:ext>
              </c:extLst>
            </c:dLbl>
            <c:dLbl>
              <c:idx val="1"/>
              <c:layout>
                <c:manualLayout>
                  <c:x val="4.8308610759161E-2"/>
                  <c:y val="0.19237433815378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B-4E4B-B207-806F2AA497DE}"/>
                </c:ext>
              </c:extLst>
            </c:dLbl>
            <c:dLbl>
              <c:idx val="2"/>
              <c:layout>
                <c:manualLayout>
                  <c:x val="1.7566767548785819E-2"/>
                  <c:y val="0.1282495587691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B-4E4B-B207-806F2AA497DE}"/>
                </c:ext>
              </c:extLst>
            </c:dLbl>
            <c:dLbl>
              <c:idx val="3"/>
              <c:layout>
                <c:manualLayout>
                  <c:x val="-5.2700302646357465E-2"/>
                  <c:y val="0.1399086095663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B-4E4B-B207-806F2AA497DE}"/>
                </c:ext>
              </c:extLst>
            </c:dLbl>
            <c:dLbl>
              <c:idx val="4"/>
              <c:layout>
                <c:manualLayout>
                  <c:x val="-8.7833837743929097E-2"/>
                  <c:y val="-0.104931457174791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B-4E4B-B207-806F2AA497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Sales'!$AH$15:$AH$20</c:f>
              <c:strCache>
                <c:ptCount val="5"/>
                <c:pt idx="0">
                  <c:v>Books</c:v>
                </c:pt>
                <c:pt idx="1">
                  <c:v>Clothing</c:v>
                </c:pt>
                <c:pt idx="2">
                  <c:v>Electronics</c:v>
                </c:pt>
                <c:pt idx="3">
                  <c:v>Home &amp; Kitchen</c:v>
                </c:pt>
                <c:pt idx="4">
                  <c:v>Sports</c:v>
                </c:pt>
              </c:strCache>
            </c:strRef>
          </c:cat>
          <c:val>
            <c:numRef>
              <c:f>'Pivot Sales'!$AI$15:$AI$20</c:f>
              <c:numCache>
                <c:formatCode>0.00</c:formatCode>
                <c:ptCount val="5"/>
                <c:pt idx="0">
                  <c:v>2331.08</c:v>
                </c:pt>
                <c:pt idx="1">
                  <c:v>3871.5000000000005</c:v>
                </c:pt>
                <c:pt idx="2">
                  <c:v>2455.5100000000002</c:v>
                </c:pt>
                <c:pt idx="3">
                  <c:v>2800.9100000000003</c:v>
                </c:pt>
                <c:pt idx="4">
                  <c:v>6703.0499999999993</c:v>
                </c:pt>
              </c:numCache>
            </c:numRef>
          </c:val>
          <c:extLst>
            <c:ext xmlns:c16="http://schemas.microsoft.com/office/drawing/2014/chart" uri="{C3380CC4-5D6E-409C-BE32-E72D297353CC}">
              <c16:uniqueId val="{0000000A-271B-4E4B-B207-806F2AA497DE}"/>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Sales!PivotTable7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00B05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53927383240579E-2"/>
          <c:y val="1.5151613666361408E-2"/>
          <c:w val="0.92195889014642629"/>
          <c:h val="0.6080296450269107"/>
        </c:manualLayout>
      </c:layout>
      <c:lineChart>
        <c:grouping val="standard"/>
        <c:varyColors val="0"/>
        <c:ser>
          <c:idx val="0"/>
          <c:order val="0"/>
          <c:tx>
            <c:strRef>
              <c:f>'Pivot Sales'!$AD$14</c:f>
              <c:strCache>
                <c:ptCount val="1"/>
                <c:pt idx="0">
                  <c:v>Total</c:v>
                </c:pt>
              </c:strCache>
            </c:strRef>
          </c:tx>
          <c:spPr>
            <a:ln w="22225" cap="rnd" cmpd="sng" algn="ctr">
              <a:solidFill>
                <a:srgbClr val="00B050"/>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Sales'!$AC$15:$AC$35</c:f>
              <c:strCache>
                <c:ptCount val="20"/>
                <c:pt idx="0">
                  <c:v>Biography</c:v>
                </c:pt>
                <c:pt idx="1">
                  <c:v>Blender</c:v>
                </c:pt>
                <c:pt idx="2">
                  <c:v>Comics</c:v>
                </c:pt>
                <c:pt idx="3">
                  <c:v>Cookware Set</c:v>
                </c:pt>
                <c:pt idx="4">
                  <c:v>Dumbbells</c:v>
                </c:pt>
                <c:pt idx="5">
                  <c:v>Football</c:v>
                </c:pt>
                <c:pt idx="6">
                  <c:v>Headphones</c:v>
                </c:pt>
                <c:pt idx="7">
                  <c:v>Jacket</c:v>
                </c:pt>
                <c:pt idx="8">
                  <c:v>Jeans</c:v>
                </c:pt>
                <c:pt idx="9">
                  <c:v>Laptop</c:v>
                </c:pt>
                <c:pt idx="10">
                  <c:v>Microwave</c:v>
                </c:pt>
                <c:pt idx="11">
                  <c:v>Novel</c:v>
                </c:pt>
                <c:pt idx="12">
                  <c:v>Running Shoes</c:v>
                </c:pt>
                <c:pt idx="13">
                  <c:v>Shirt</c:v>
                </c:pt>
                <c:pt idx="14">
                  <c:v>Smartphone</c:v>
                </c:pt>
                <c:pt idx="15">
                  <c:v>Tablet</c:v>
                </c:pt>
                <c:pt idx="16">
                  <c:v>Tennis Racket</c:v>
                </c:pt>
                <c:pt idx="17">
                  <c:v>Textbook</c:v>
                </c:pt>
                <c:pt idx="18">
                  <c:v>T-Shirt</c:v>
                </c:pt>
                <c:pt idx="19">
                  <c:v>Vacuum Cleaner</c:v>
                </c:pt>
              </c:strCache>
            </c:strRef>
          </c:cat>
          <c:val>
            <c:numRef>
              <c:f>'Pivot Sales'!$AD$15:$AD$35</c:f>
              <c:numCache>
                <c:formatCode>General</c:formatCode>
                <c:ptCount val="20"/>
                <c:pt idx="0">
                  <c:v>1</c:v>
                </c:pt>
                <c:pt idx="1">
                  <c:v>3</c:v>
                </c:pt>
                <c:pt idx="2">
                  <c:v>3</c:v>
                </c:pt>
                <c:pt idx="3">
                  <c:v>3</c:v>
                </c:pt>
                <c:pt idx="4">
                  <c:v>4</c:v>
                </c:pt>
                <c:pt idx="5">
                  <c:v>1</c:v>
                </c:pt>
                <c:pt idx="6">
                  <c:v>1</c:v>
                </c:pt>
                <c:pt idx="7">
                  <c:v>1</c:v>
                </c:pt>
                <c:pt idx="8">
                  <c:v>4</c:v>
                </c:pt>
                <c:pt idx="9">
                  <c:v>4</c:v>
                </c:pt>
                <c:pt idx="10">
                  <c:v>3</c:v>
                </c:pt>
                <c:pt idx="11">
                  <c:v>2</c:v>
                </c:pt>
                <c:pt idx="12">
                  <c:v>3</c:v>
                </c:pt>
                <c:pt idx="13">
                  <c:v>2</c:v>
                </c:pt>
                <c:pt idx="14">
                  <c:v>4</c:v>
                </c:pt>
                <c:pt idx="15">
                  <c:v>3</c:v>
                </c:pt>
                <c:pt idx="16">
                  <c:v>5</c:v>
                </c:pt>
                <c:pt idx="17">
                  <c:v>5</c:v>
                </c:pt>
                <c:pt idx="18">
                  <c:v>4</c:v>
                </c:pt>
                <c:pt idx="19">
                  <c:v>1</c:v>
                </c:pt>
              </c:numCache>
            </c:numRef>
          </c:val>
          <c:smooth val="0"/>
          <c:extLst>
            <c:ext xmlns:c16="http://schemas.microsoft.com/office/drawing/2014/chart" uri="{C3380CC4-5D6E-409C-BE32-E72D297353CC}">
              <c16:uniqueId val="{00000000-DB4C-4471-B576-B062E46E76FA}"/>
            </c:ext>
          </c:extLst>
        </c:ser>
        <c:dLbls>
          <c:dLblPos val="t"/>
          <c:showLegendKey val="0"/>
          <c:showVal val="1"/>
          <c:showCatName val="0"/>
          <c:showSerName val="0"/>
          <c:showPercent val="0"/>
          <c:showBubbleSize val="0"/>
        </c:dLbls>
        <c:dropLines>
          <c:spPr>
            <a:ln w="9525" cap="flat" cmpd="sng" algn="ctr">
              <a:solidFill>
                <a:srgbClr val="92D050">
                  <a:alpha val="33000"/>
                </a:srgbClr>
              </a:solidFill>
              <a:round/>
            </a:ln>
            <a:effectLst/>
          </c:spPr>
        </c:dropLines>
        <c:marker val="1"/>
        <c:smooth val="0"/>
        <c:axId val="2076593984"/>
        <c:axId val="2076594464"/>
      </c:lineChart>
      <c:catAx>
        <c:axId val="20765939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rgbClr val="00B050"/>
                </a:solidFill>
                <a:latin typeface="+mn-lt"/>
                <a:ea typeface="+mn-ea"/>
                <a:cs typeface="+mn-cs"/>
              </a:defRPr>
            </a:pPr>
            <a:endParaRPr lang="en-US"/>
          </a:p>
        </c:txPr>
        <c:crossAx val="2076594464"/>
        <c:crosses val="autoZero"/>
        <c:auto val="1"/>
        <c:lblAlgn val="ctr"/>
        <c:lblOffset val="100"/>
        <c:noMultiLvlLbl val="0"/>
      </c:catAx>
      <c:valAx>
        <c:axId val="2076594464"/>
        <c:scaling>
          <c:orientation val="minMax"/>
        </c:scaling>
        <c:delete val="1"/>
        <c:axPos val="l"/>
        <c:numFmt formatCode="General" sourceLinked="1"/>
        <c:majorTickMark val="none"/>
        <c:minorTickMark val="none"/>
        <c:tickLblPos val="nextTo"/>
        <c:crossAx val="207659398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chart" Target="../charts/chart17.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5.xml"/><Relationship Id="rId2" Type="http://schemas.openxmlformats.org/officeDocument/2006/relationships/image" Target="../media/image2.svg"/><Relationship Id="rId16" Type="http://schemas.openxmlformats.org/officeDocument/2006/relationships/chart" Target="../charts/chart14.xml"/><Relationship Id="rId20"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3.xml"/><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17</xdr:col>
      <xdr:colOff>850900</xdr:colOff>
      <xdr:row>181</xdr:row>
      <xdr:rowOff>50800</xdr:rowOff>
    </xdr:from>
    <xdr:to>
      <xdr:col>19</xdr:col>
      <xdr:colOff>1035050</xdr:colOff>
      <xdr:row>194</xdr:row>
      <xdr:rowOff>180975</xdr:rowOff>
    </xdr:to>
    <mc:AlternateContent xmlns:mc="http://schemas.openxmlformats.org/markup-compatibility/2006" xmlns:sle15="http://schemas.microsoft.com/office/drawing/2012/slicer">
      <mc:Choice Requires="sle15">
        <xdr:graphicFrame macro="">
          <xdr:nvGraphicFramePr>
            <xdr:cNvPr id="2" name="Region">
              <a:extLst>
                <a:ext uri="{FF2B5EF4-FFF2-40B4-BE49-F238E27FC236}">
                  <a16:creationId xmlns:a16="http://schemas.microsoft.com/office/drawing/2014/main" id="{740B641F-3685-3E64-4A7D-FB9413A156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021050" y="33381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25400</xdr:colOff>
      <xdr:row>181</xdr:row>
      <xdr:rowOff>31750</xdr:rowOff>
    </xdr:from>
    <xdr:to>
      <xdr:col>22</xdr:col>
      <xdr:colOff>387350</xdr:colOff>
      <xdr:row>194</xdr:row>
      <xdr:rowOff>161925</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09189934-D9F5-7859-8641-4BE1F39C07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964150" y="33362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831850</xdr:colOff>
      <xdr:row>195</xdr:row>
      <xdr:rowOff>127000</xdr:rowOff>
    </xdr:from>
    <xdr:to>
      <xdr:col>19</xdr:col>
      <xdr:colOff>1016000</xdr:colOff>
      <xdr:row>209</xdr:row>
      <xdr:rowOff>73025</xdr:rowOff>
    </xdr:to>
    <mc:AlternateContent xmlns:mc="http://schemas.openxmlformats.org/markup-compatibility/2006" xmlns:sle15="http://schemas.microsoft.com/office/drawing/2012/slicer">
      <mc:Choice Requires="sle15">
        <xdr:graphicFrame macro="">
          <xdr:nvGraphicFramePr>
            <xdr:cNvPr id="4" name="Product">
              <a:extLst>
                <a:ext uri="{FF2B5EF4-FFF2-40B4-BE49-F238E27FC236}">
                  <a16:creationId xmlns:a16="http://schemas.microsoft.com/office/drawing/2014/main" id="{B29E1DB1-A6F1-8C3F-FD65-231410DE2CD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002000" y="36036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9</xdr:row>
      <xdr:rowOff>165100</xdr:rowOff>
    </xdr:from>
    <xdr:to>
      <xdr:col>4</xdr:col>
      <xdr:colOff>800100</xdr:colOff>
      <xdr:row>22</xdr:row>
      <xdr:rowOff>114300</xdr:rowOff>
    </xdr:to>
    <xdr:graphicFrame macro="">
      <xdr:nvGraphicFramePr>
        <xdr:cNvPr id="2" name="Chart 1">
          <a:extLst>
            <a:ext uri="{FF2B5EF4-FFF2-40B4-BE49-F238E27FC236}">
              <a16:creationId xmlns:a16="http://schemas.microsoft.com/office/drawing/2014/main" id="{C34FE0E4-7788-4EE0-7B15-25FC4DA62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127000</xdr:colOff>
      <xdr:row>18</xdr:row>
      <xdr:rowOff>95250</xdr:rowOff>
    </xdr:from>
    <xdr:to>
      <xdr:col>11</xdr:col>
      <xdr:colOff>431800</xdr:colOff>
      <xdr:row>31</xdr:row>
      <xdr:rowOff>133350</xdr:rowOff>
    </xdr:to>
    <xdr:graphicFrame macro="">
      <xdr:nvGraphicFramePr>
        <xdr:cNvPr id="3" name="Chart 2">
          <a:extLst>
            <a:ext uri="{FF2B5EF4-FFF2-40B4-BE49-F238E27FC236}">
              <a16:creationId xmlns:a16="http://schemas.microsoft.com/office/drawing/2014/main" id="{3A791B28-E64F-21DE-72E5-04F19B7F3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403225</xdr:colOff>
      <xdr:row>12</xdr:row>
      <xdr:rowOff>127000</xdr:rowOff>
    </xdr:from>
    <xdr:to>
      <xdr:col>26</xdr:col>
      <xdr:colOff>403225</xdr:colOff>
      <xdr:row>27</xdr:row>
      <xdr:rowOff>107950</xdr:rowOff>
    </xdr:to>
    <xdr:graphicFrame macro="">
      <xdr:nvGraphicFramePr>
        <xdr:cNvPr id="8" name="Chart 7">
          <a:extLst>
            <a:ext uri="{FF2B5EF4-FFF2-40B4-BE49-F238E27FC236}">
              <a16:creationId xmlns:a16="http://schemas.microsoft.com/office/drawing/2014/main" id="{DCB57E8A-0420-7E74-704C-2997021E1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587375</xdr:colOff>
      <xdr:row>12</xdr:row>
      <xdr:rowOff>152400</xdr:rowOff>
    </xdr:from>
    <xdr:to>
      <xdr:col>21</xdr:col>
      <xdr:colOff>69850</xdr:colOff>
      <xdr:row>25</xdr:row>
      <xdr:rowOff>133350</xdr:rowOff>
    </xdr:to>
    <xdr:graphicFrame macro="">
      <xdr:nvGraphicFramePr>
        <xdr:cNvPr id="9" name="Chart 8">
          <a:extLst>
            <a:ext uri="{FF2B5EF4-FFF2-40B4-BE49-F238E27FC236}">
              <a16:creationId xmlns:a16="http://schemas.microsoft.com/office/drawing/2014/main" id="{488457F3-5AA1-1C21-1600-E11660C15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146050</xdr:colOff>
      <xdr:row>9</xdr:row>
      <xdr:rowOff>63500</xdr:rowOff>
    </xdr:from>
    <xdr:to>
      <xdr:col>16</xdr:col>
      <xdr:colOff>196850</xdr:colOff>
      <xdr:row>24</xdr:row>
      <xdr:rowOff>44450</xdr:rowOff>
    </xdr:to>
    <xdr:graphicFrame macro="">
      <xdr:nvGraphicFramePr>
        <xdr:cNvPr id="5" name="Chart 4">
          <a:extLst>
            <a:ext uri="{FF2B5EF4-FFF2-40B4-BE49-F238E27FC236}">
              <a16:creationId xmlns:a16="http://schemas.microsoft.com/office/drawing/2014/main" id="{F72FCCA1-983E-648D-DDFE-4CC100474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908050</xdr:colOff>
      <xdr:row>35</xdr:row>
      <xdr:rowOff>60325</xdr:rowOff>
    </xdr:from>
    <xdr:to>
      <xdr:col>31</xdr:col>
      <xdr:colOff>355600</xdr:colOff>
      <xdr:row>50</xdr:row>
      <xdr:rowOff>41275</xdr:rowOff>
    </xdr:to>
    <xdr:graphicFrame macro="">
      <xdr:nvGraphicFramePr>
        <xdr:cNvPr id="4" name="Chart 3">
          <a:extLst>
            <a:ext uri="{FF2B5EF4-FFF2-40B4-BE49-F238E27FC236}">
              <a16:creationId xmlns:a16="http://schemas.microsoft.com/office/drawing/2014/main" id="{255C95A6-6AAE-B8B5-4B7C-63DDC0854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603250</xdr:colOff>
      <xdr:row>77</xdr:row>
      <xdr:rowOff>60325</xdr:rowOff>
    </xdr:from>
    <xdr:to>
      <xdr:col>32</xdr:col>
      <xdr:colOff>457200</xdr:colOff>
      <xdr:row>92</xdr:row>
      <xdr:rowOff>41275</xdr:rowOff>
    </xdr:to>
    <xdr:graphicFrame macro="">
      <xdr:nvGraphicFramePr>
        <xdr:cNvPr id="6" name="Chart 5">
          <a:extLst>
            <a:ext uri="{FF2B5EF4-FFF2-40B4-BE49-F238E27FC236}">
              <a16:creationId xmlns:a16="http://schemas.microsoft.com/office/drawing/2014/main" id="{EB62270B-0646-B637-BE08-9E65BE64F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812800</xdr:colOff>
      <xdr:row>2</xdr:row>
      <xdr:rowOff>130175</xdr:rowOff>
    </xdr:from>
    <xdr:to>
      <xdr:col>35</xdr:col>
      <xdr:colOff>463550</xdr:colOff>
      <xdr:row>17</xdr:row>
      <xdr:rowOff>111125</xdr:rowOff>
    </xdr:to>
    <xdr:graphicFrame macro="">
      <xdr:nvGraphicFramePr>
        <xdr:cNvPr id="7" name="Chart 6">
          <a:extLst>
            <a:ext uri="{FF2B5EF4-FFF2-40B4-BE49-F238E27FC236}">
              <a16:creationId xmlns:a16="http://schemas.microsoft.com/office/drawing/2014/main" id="{2CF1C76B-4DA9-C470-A9C8-6AF4CD063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457200</xdr:colOff>
      <xdr:row>4</xdr:row>
      <xdr:rowOff>38100</xdr:rowOff>
    </xdr:from>
    <xdr:to>
      <xdr:col>8</xdr:col>
      <xdr:colOff>25400</xdr:colOff>
      <xdr:row>17</xdr:row>
      <xdr:rowOff>168275</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03787F69-7196-87FD-64EC-6218743B6F2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746750" y="77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1085850</xdr:colOff>
      <xdr:row>4</xdr:row>
      <xdr:rowOff>38100</xdr:rowOff>
    </xdr:from>
    <xdr:to>
      <xdr:col>4</xdr:col>
      <xdr:colOff>781050</xdr:colOff>
      <xdr:row>17</xdr:row>
      <xdr:rowOff>168275</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3C456E72-2EAD-7884-B270-975266D8EE8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416300" y="77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1085850</xdr:colOff>
      <xdr:row>4</xdr:row>
      <xdr:rowOff>38100</xdr:rowOff>
    </xdr:from>
    <xdr:to>
      <xdr:col>4</xdr:col>
      <xdr:colOff>781050</xdr:colOff>
      <xdr:row>17</xdr:row>
      <xdr:rowOff>168275</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8E452E77-5D86-2129-B345-1350B708606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416300" y="77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18</xdr:row>
      <xdr:rowOff>101600</xdr:rowOff>
    </xdr:from>
    <xdr:to>
      <xdr:col>3</xdr:col>
      <xdr:colOff>596900</xdr:colOff>
      <xdr:row>33</xdr:row>
      <xdr:rowOff>82550</xdr:rowOff>
    </xdr:to>
    <xdr:graphicFrame macro="">
      <xdr:nvGraphicFramePr>
        <xdr:cNvPr id="2" name="Chart 1">
          <a:extLst>
            <a:ext uri="{FF2B5EF4-FFF2-40B4-BE49-F238E27FC236}">
              <a16:creationId xmlns:a16="http://schemas.microsoft.com/office/drawing/2014/main" id="{6B8A81DA-CA86-29D7-F276-7662CABFA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996950</xdr:colOff>
      <xdr:row>7</xdr:row>
      <xdr:rowOff>146050</xdr:rowOff>
    </xdr:from>
    <xdr:to>
      <xdr:col>7</xdr:col>
      <xdr:colOff>209550</xdr:colOff>
      <xdr:row>20</xdr:row>
      <xdr:rowOff>120650</xdr:rowOff>
    </xdr:to>
    <xdr:graphicFrame macro="">
      <xdr:nvGraphicFramePr>
        <xdr:cNvPr id="4" name="Chart 3">
          <a:extLst>
            <a:ext uri="{FF2B5EF4-FFF2-40B4-BE49-F238E27FC236}">
              <a16:creationId xmlns:a16="http://schemas.microsoft.com/office/drawing/2014/main" id="{3406598B-D55F-C19F-5E1A-7F792E9B9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400050</xdr:colOff>
      <xdr:row>0</xdr:row>
      <xdr:rowOff>38100</xdr:rowOff>
    </xdr:from>
    <xdr:to>
      <xdr:col>9</xdr:col>
      <xdr:colOff>374650</xdr:colOff>
      <xdr:row>13</xdr:row>
      <xdr:rowOff>168275</xdr:rowOff>
    </xdr:to>
    <mc:AlternateContent xmlns:mc="http://schemas.openxmlformats.org/markup-compatibility/2006" xmlns:a14="http://schemas.microsoft.com/office/drawing/2010/main">
      <mc:Choice Requires="a14">
        <xdr:graphicFrame macro="">
          <xdr:nvGraphicFramePr>
            <xdr:cNvPr id="3" name="Return_Reason">
              <a:extLst>
                <a:ext uri="{FF2B5EF4-FFF2-40B4-BE49-F238E27FC236}">
                  <a16:creationId xmlns:a16="http://schemas.microsoft.com/office/drawing/2014/main" id="{A3D99D92-3646-8893-1C29-DD3A8A71AF94}"/>
                </a:ext>
              </a:extLst>
            </xdr:cNvPr>
            <xdr:cNvGraphicFramePr/>
          </xdr:nvGraphicFramePr>
          <xdr:xfrm>
            <a:off x="0" y="0"/>
            <a:ext cx="0" cy="0"/>
          </xdr:xfrm>
          <a:graphic>
            <a:graphicData uri="http://schemas.microsoft.com/office/drawing/2010/slicer">
              <sle:slicer xmlns:sle="http://schemas.microsoft.com/office/drawing/2010/slicer" name="Return_Reason"/>
            </a:graphicData>
          </a:graphic>
        </xdr:graphicFrame>
      </mc:Choice>
      <mc:Fallback xmlns="">
        <xdr:sp macro="" textlink="">
          <xdr:nvSpPr>
            <xdr:cNvPr id="0" name=""/>
            <xdr:cNvSpPr>
              <a:spLocks noTextEdit="1"/>
            </xdr:cNvSpPr>
          </xdr:nvSpPr>
          <xdr:spPr>
            <a:xfrm>
              <a:off x="8928100" y="38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68961</xdr:rowOff>
    </xdr:from>
    <xdr:to>
      <xdr:col>18</xdr:col>
      <xdr:colOff>400050</xdr:colOff>
      <xdr:row>4</xdr:row>
      <xdr:rowOff>94361</xdr:rowOff>
    </xdr:to>
    <xdr:sp macro="" textlink="">
      <xdr:nvSpPr>
        <xdr:cNvPr id="12" name="Rectangle: Rounded Corners 11">
          <a:extLst>
            <a:ext uri="{FF2B5EF4-FFF2-40B4-BE49-F238E27FC236}">
              <a16:creationId xmlns:a16="http://schemas.microsoft.com/office/drawing/2014/main" id="{3A08808D-C09A-1A7E-6EE3-1E6A434FA9D5}"/>
            </a:ext>
          </a:extLst>
        </xdr:cNvPr>
        <xdr:cNvSpPr/>
      </xdr:nvSpPr>
      <xdr:spPr>
        <a:xfrm>
          <a:off x="0" y="68961"/>
          <a:ext cx="11414414" cy="764309"/>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accent6">
                  <a:lumMod val="75000"/>
                </a:schemeClr>
              </a:solidFill>
              <a:latin typeface="Algerian" panose="04020705040A02060702" pitchFamily="82" charset="0"/>
            </a:rPr>
            <a:t>Advanced</a:t>
          </a:r>
          <a:r>
            <a:rPr lang="en-IN" sz="4000" baseline="0">
              <a:solidFill>
                <a:schemeClr val="accent6">
                  <a:lumMod val="75000"/>
                </a:schemeClr>
              </a:solidFill>
              <a:latin typeface="Algerian" panose="04020705040A02060702" pitchFamily="82" charset="0"/>
            </a:rPr>
            <a:t> Retail Sales Analysis</a:t>
          </a:r>
          <a:endParaRPr lang="en-IN" sz="4000">
            <a:solidFill>
              <a:schemeClr val="accent6">
                <a:lumMod val="75000"/>
              </a:schemeClr>
            </a:solidFill>
            <a:latin typeface="Algerian" panose="04020705040A02060702" pitchFamily="82" charset="0"/>
          </a:endParaRPr>
        </a:p>
      </xdr:txBody>
    </xdr:sp>
    <xdr:clientData/>
  </xdr:twoCellAnchor>
  <xdr:twoCellAnchor>
    <xdr:from>
      <xdr:col>0</xdr:col>
      <xdr:colOff>6350</xdr:colOff>
      <xdr:row>4</xdr:row>
      <xdr:rowOff>44450</xdr:rowOff>
    </xdr:from>
    <xdr:to>
      <xdr:col>3</xdr:col>
      <xdr:colOff>94392</xdr:colOff>
      <xdr:row>8</xdr:row>
      <xdr:rowOff>94392</xdr:rowOff>
    </xdr:to>
    <xdr:grpSp>
      <xdr:nvGrpSpPr>
        <xdr:cNvPr id="20" name="Group 19">
          <a:extLst>
            <a:ext uri="{FF2B5EF4-FFF2-40B4-BE49-F238E27FC236}">
              <a16:creationId xmlns:a16="http://schemas.microsoft.com/office/drawing/2014/main" id="{D89EE644-B554-E26B-303C-927EB55B743A}"/>
            </a:ext>
          </a:extLst>
        </xdr:cNvPr>
        <xdr:cNvGrpSpPr/>
      </xdr:nvGrpSpPr>
      <xdr:grpSpPr>
        <a:xfrm>
          <a:off x="6350" y="783359"/>
          <a:ext cx="1923769" cy="800397"/>
          <a:chOff x="12700" y="895350"/>
          <a:chExt cx="2035450" cy="793101"/>
        </a:xfrm>
      </xdr:grpSpPr>
      <xdr:sp macro="" textlink="">
        <xdr:nvSpPr>
          <xdr:cNvPr id="14" name="Rectangle: Rounded Corners 13">
            <a:extLst>
              <a:ext uri="{FF2B5EF4-FFF2-40B4-BE49-F238E27FC236}">
                <a16:creationId xmlns:a16="http://schemas.microsoft.com/office/drawing/2014/main" id="{6B86E93E-5F62-4944-8128-405EE8C059AD}"/>
              </a:ext>
            </a:extLst>
          </xdr:cNvPr>
          <xdr:cNvSpPr/>
        </xdr:nvSpPr>
        <xdr:spPr>
          <a:xfrm>
            <a:off x="12700" y="946150"/>
            <a:ext cx="1962150" cy="7239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Sales_Data!T4">
        <xdr:nvSpPr>
          <xdr:cNvPr id="15" name="TextBox 14">
            <a:extLst>
              <a:ext uri="{FF2B5EF4-FFF2-40B4-BE49-F238E27FC236}">
                <a16:creationId xmlns:a16="http://schemas.microsoft.com/office/drawing/2014/main" id="{5058C483-3BAF-01AF-DB59-9E38EE695FD1}"/>
              </a:ext>
            </a:extLst>
          </xdr:cNvPr>
          <xdr:cNvSpPr txBox="1"/>
        </xdr:nvSpPr>
        <xdr:spPr>
          <a:xfrm>
            <a:off x="736600" y="1333500"/>
            <a:ext cx="1187450" cy="26670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22814C1-82D0-4F2F-9500-92AAE4D991D9}" type="TxLink">
              <a:rPr lang="en-US" sz="1400" b="0" i="0" u="none" strike="noStrike">
                <a:solidFill>
                  <a:schemeClr val="bg1"/>
                </a:solidFill>
                <a:latin typeface="Algerian" panose="04020705040A02060702" pitchFamily="82" charset="0"/>
                <a:ea typeface="Calibri"/>
                <a:cs typeface="Calibri"/>
              </a:rPr>
              <a:pPr algn="ctr"/>
              <a:t>271442</a:t>
            </a:fld>
            <a:endParaRPr lang="en-IN" sz="1400">
              <a:solidFill>
                <a:schemeClr val="bg1"/>
              </a:solidFill>
              <a:latin typeface="Algerian" panose="04020705040A02060702" pitchFamily="82" charset="0"/>
            </a:endParaRPr>
          </a:p>
        </xdr:txBody>
      </xdr:sp>
      <xdr:sp macro="" textlink="">
        <xdr:nvSpPr>
          <xdr:cNvPr id="18" name="Rectangle: Rounded Corners 17">
            <a:extLst>
              <a:ext uri="{FF2B5EF4-FFF2-40B4-BE49-F238E27FC236}">
                <a16:creationId xmlns:a16="http://schemas.microsoft.com/office/drawing/2014/main" id="{378848D4-529A-4769-A634-579913E66F9B}"/>
              </a:ext>
            </a:extLst>
          </xdr:cNvPr>
          <xdr:cNvSpPr/>
        </xdr:nvSpPr>
        <xdr:spPr>
          <a:xfrm>
            <a:off x="12700" y="952500"/>
            <a:ext cx="628650" cy="7239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
        <xdr:nvSpPr>
          <xdr:cNvPr id="19" name="TextBox 18">
            <a:extLst>
              <a:ext uri="{FF2B5EF4-FFF2-40B4-BE49-F238E27FC236}">
                <a16:creationId xmlns:a16="http://schemas.microsoft.com/office/drawing/2014/main" id="{E581E709-8AA1-A95F-479D-269D78325ECF}"/>
              </a:ext>
            </a:extLst>
          </xdr:cNvPr>
          <xdr:cNvSpPr txBox="1"/>
        </xdr:nvSpPr>
        <xdr:spPr>
          <a:xfrm>
            <a:off x="639778" y="895350"/>
            <a:ext cx="1408372" cy="7931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lgerian" panose="04020705040A02060702" pitchFamily="82" charset="0"/>
              </a:rPr>
              <a:t>Total </a:t>
            </a:r>
            <a:r>
              <a:rPr lang="en-IN" sz="1050" b="1">
                <a:solidFill>
                  <a:schemeClr val="bg1"/>
                </a:solidFill>
                <a:latin typeface="Algerian" panose="04020705040A02060702" pitchFamily="82" charset="0"/>
              </a:rPr>
              <a:t>Sales</a:t>
            </a:r>
            <a:endParaRPr lang="en-IN" sz="1200" b="1">
              <a:solidFill>
                <a:schemeClr val="bg1"/>
              </a:solidFill>
              <a:latin typeface="Algerian" panose="04020705040A02060702" pitchFamily="82" charset="0"/>
            </a:endParaRPr>
          </a:p>
        </xdr:txBody>
      </xdr:sp>
    </xdr:grpSp>
    <xdr:clientData/>
  </xdr:twoCellAnchor>
  <xdr:twoCellAnchor>
    <xdr:from>
      <xdr:col>3</xdr:col>
      <xdr:colOff>82550</xdr:colOff>
      <xdr:row>4</xdr:row>
      <xdr:rowOff>44450</xdr:rowOff>
    </xdr:from>
    <xdr:to>
      <xdr:col>6</xdr:col>
      <xdr:colOff>101600</xdr:colOff>
      <xdr:row>8</xdr:row>
      <xdr:rowOff>94392</xdr:rowOff>
    </xdr:to>
    <xdr:grpSp>
      <xdr:nvGrpSpPr>
        <xdr:cNvPr id="66" name="Group 65">
          <a:extLst>
            <a:ext uri="{FF2B5EF4-FFF2-40B4-BE49-F238E27FC236}">
              <a16:creationId xmlns:a16="http://schemas.microsoft.com/office/drawing/2014/main" id="{9751E26E-C67C-4306-B6EB-F244A7FBE49D}"/>
            </a:ext>
          </a:extLst>
        </xdr:cNvPr>
        <xdr:cNvGrpSpPr/>
      </xdr:nvGrpSpPr>
      <xdr:grpSpPr>
        <a:xfrm>
          <a:off x="1918277" y="783359"/>
          <a:ext cx="1854778" cy="800397"/>
          <a:chOff x="12700" y="901700"/>
          <a:chExt cx="1962150" cy="792147"/>
        </a:xfrm>
      </xdr:grpSpPr>
      <xdr:sp macro="" textlink="">
        <xdr:nvSpPr>
          <xdr:cNvPr id="67" name="Rectangle: Rounded Corners 66">
            <a:extLst>
              <a:ext uri="{FF2B5EF4-FFF2-40B4-BE49-F238E27FC236}">
                <a16:creationId xmlns:a16="http://schemas.microsoft.com/office/drawing/2014/main" id="{5AEA5570-D3F9-F4D5-8E99-509F1F2D020D}"/>
              </a:ext>
            </a:extLst>
          </xdr:cNvPr>
          <xdr:cNvSpPr/>
        </xdr:nvSpPr>
        <xdr:spPr>
          <a:xfrm>
            <a:off x="12700" y="946150"/>
            <a:ext cx="1962150" cy="7239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Sales_Data!T7">
        <xdr:nvSpPr>
          <xdr:cNvPr id="68" name="TextBox 67">
            <a:extLst>
              <a:ext uri="{FF2B5EF4-FFF2-40B4-BE49-F238E27FC236}">
                <a16:creationId xmlns:a16="http://schemas.microsoft.com/office/drawing/2014/main" id="{5DD8A024-8E30-2B91-1763-C8C8CCFB12A8}"/>
              </a:ext>
            </a:extLst>
          </xdr:cNvPr>
          <xdr:cNvSpPr txBox="1"/>
        </xdr:nvSpPr>
        <xdr:spPr>
          <a:xfrm>
            <a:off x="736600" y="1333500"/>
            <a:ext cx="1187450" cy="26670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7B67F80-6C6D-4172-BA44-8D23275222AE}" type="TxLink">
              <a:rPr lang="en-US" sz="1400" b="0" i="0" u="none" strike="noStrike">
                <a:solidFill>
                  <a:schemeClr val="bg1"/>
                </a:solidFill>
                <a:latin typeface="Algerian" panose="04020705040A02060702" pitchFamily="82" charset="0"/>
                <a:ea typeface="Calibri"/>
                <a:cs typeface="Calibri"/>
              </a:rPr>
              <a:pPr algn="ctr"/>
              <a:t>67786</a:t>
            </a:fld>
            <a:endParaRPr lang="en-IN" sz="1400">
              <a:solidFill>
                <a:schemeClr val="bg1"/>
              </a:solidFill>
              <a:latin typeface="Algerian" panose="04020705040A02060702" pitchFamily="82" charset="0"/>
            </a:endParaRPr>
          </a:p>
        </xdr:txBody>
      </xdr:sp>
      <xdr:sp macro="" textlink="">
        <xdr:nvSpPr>
          <xdr:cNvPr id="69" name="Rectangle: Rounded Corners 68">
            <a:extLst>
              <a:ext uri="{FF2B5EF4-FFF2-40B4-BE49-F238E27FC236}">
                <a16:creationId xmlns:a16="http://schemas.microsoft.com/office/drawing/2014/main" id="{398B9784-5DBC-3DBB-2A5C-6A78E984C1E0}"/>
              </a:ext>
            </a:extLst>
          </xdr:cNvPr>
          <xdr:cNvSpPr/>
        </xdr:nvSpPr>
        <xdr:spPr>
          <a:xfrm>
            <a:off x="12700" y="952500"/>
            <a:ext cx="628650" cy="7239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
        <xdr:nvSpPr>
          <xdr:cNvPr id="70" name="TextBox 69">
            <a:extLst>
              <a:ext uri="{FF2B5EF4-FFF2-40B4-BE49-F238E27FC236}">
                <a16:creationId xmlns:a16="http://schemas.microsoft.com/office/drawing/2014/main" id="{365F8742-F889-2EFA-C960-FC2CF9468FD2}"/>
              </a:ext>
            </a:extLst>
          </xdr:cNvPr>
          <xdr:cNvSpPr txBox="1"/>
        </xdr:nvSpPr>
        <xdr:spPr>
          <a:xfrm>
            <a:off x="612808" y="901700"/>
            <a:ext cx="1336644" cy="79214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lgerian" panose="04020705040A02060702" pitchFamily="82" charset="0"/>
              </a:rPr>
              <a:t>Total</a:t>
            </a:r>
            <a:r>
              <a:rPr lang="en-IN" sz="1200" b="1" baseline="0">
                <a:solidFill>
                  <a:schemeClr val="bg1"/>
                </a:solidFill>
                <a:latin typeface="Algerian" panose="04020705040A02060702" pitchFamily="82" charset="0"/>
              </a:rPr>
              <a:t> Profit</a:t>
            </a:r>
            <a:r>
              <a:rPr lang="en-IN" sz="1200" b="1">
                <a:solidFill>
                  <a:schemeClr val="bg1"/>
                </a:solidFill>
                <a:latin typeface="Algerian" panose="04020705040A02060702" pitchFamily="82" charset="0"/>
              </a:rPr>
              <a:t> </a:t>
            </a:r>
          </a:p>
        </xdr:txBody>
      </xdr:sp>
    </xdr:grpSp>
    <xdr:clientData/>
  </xdr:twoCellAnchor>
  <xdr:twoCellAnchor>
    <xdr:from>
      <xdr:col>6</xdr:col>
      <xdr:colOff>152400</xdr:colOff>
      <xdr:row>4</xdr:row>
      <xdr:rowOff>76200</xdr:rowOff>
    </xdr:from>
    <xdr:to>
      <xdr:col>9</xdr:col>
      <xdr:colOff>205946</xdr:colOff>
      <xdr:row>8</xdr:row>
      <xdr:rowOff>64065</xdr:rowOff>
    </xdr:to>
    <xdr:grpSp>
      <xdr:nvGrpSpPr>
        <xdr:cNvPr id="71" name="Group 70">
          <a:extLst>
            <a:ext uri="{FF2B5EF4-FFF2-40B4-BE49-F238E27FC236}">
              <a16:creationId xmlns:a16="http://schemas.microsoft.com/office/drawing/2014/main" id="{9FCA082B-4F4B-4C13-A8DF-89F697DAC3F5}"/>
            </a:ext>
          </a:extLst>
        </xdr:cNvPr>
        <xdr:cNvGrpSpPr/>
      </xdr:nvGrpSpPr>
      <xdr:grpSpPr>
        <a:xfrm>
          <a:off x="3823855" y="815109"/>
          <a:ext cx="1889273" cy="738320"/>
          <a:chOff x="12700" y="946150"/>
          <a:chExt cx="1998800" cy="730250"/>
        </a:xfrm>
      </xdr:grpSpPr>
      <xdr:sp macro="" textlink="">
        <xdr:nvSpPr>
          <xdr:cNvPr id="72" name="Rectangle: Rounded Corners 71">
            <a:extLst>
              <a:ext uri="{FF2B5EF4-FFF2-40B4-BE49-F238E27FC236}">
                <a16:creationId xmlns:a16="http://schemas.microsoft.com/office/drawing/2014/main" id="{5BC54028-40DF-7333-CCD0-E79981A66B27}"/>
              </a:ext>
            </a:extLst>
          </xdr:cNvPr>
          <xdr:cNvSpPr/>
        </xdr:nvSpPr>
        <xdr:spPr>
          <a:xfrm>
            <a:off x="12700" y="946150"/>
            <a:ext cx="1962150" cy="7239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Sales_Data!T11">
        <xdr:nvSpPr>
          <xdr:cNvPr id="73" name="TextBox 72">
            <a:extLst>
              <a:ext uri="{FF2B5EF4-FFF2-40B4-BE49-F238E27FC236}">
                <a16:creationId xmlns:a16="http://schemas.microsoft.com/office/drawing/2014/main" id="{C8B24669-25DB-C301-5CA8-25FB99A2F60D}"/>
              </a:ext>
            </a:extLst>
          </xdr:cNvPr>
          <xdr:cNvSpPr txBox="1"/>
        </xdr:nvSpPr>
        <xdr:spPr>
          <a:xfrm>
            <a:off x="736600" y="1352550"/>
            <a:ext cx="118745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7D4A7AD-9689-4190-967E-2713A3907CF6}" type="TxLink">
              <a:rPr lang="en-US" sz="1400" b="0" i="0" u="none" strike="noStrike">
                <a:solidFill>
                  <a:schemeClr val="bg1"/>
                </a:solidFill>
                <a:latin typeface="Algerian" panose="04020705040A02060702" pitchFamily="82" charset="0"/>
                <a:ea typeface="Calibri"/>
                <a:cs typeface="Calibri"/>
              </a:rPr>
              <a:pPr algn="ctr"/>
              <a:t>25%</a:t>
            </a:fld>
            <a:endParaRPr lang="en-IN" sz="1400">
              <a:solidFill>
                <a:schemeClr val="bg1"/>
              </a:solidFill>
              <a:latin typeface="Algerian" panose="04020705040A02060702" pitchFamily="82" charset="0"/>
            </a:endParaRPr>
          </a:p>
        </xdr:txBody>
      </xdr:sp>
      <xdr:sp macro="" textlink="">
        <xdr:nvSpPr>
          <xdr:cNvPr id="74" name="Rectangle: Rounded Corners 73">
            <a:extLst>
              <a:ext uri="{FF2B5EF4-FFF2-40B4-BE49-F238E27FC236}">
                <a16:creationId xmlns:a16="http://schemas.microsoft.com/office/drawing/2014/main" id="{6D35D5C4-8FD0-0132-9BA6-7B2449BD2C6A}"/>
              </a:ext>
            </a:extLst>
          </xdr:cNvPr>
          <xdr:cNvSpPr/>
        </xdr:nvSpPr>
        <xdr:spPr>
          <a:xfrm>
            <a:off x="12700" y="952500"/>
            <a:ext cx="628650" cy="7239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
        <xdr:nvSpPr>
          <xdr:cNvPr id="75" name="TextBox 74">
            <a:extLst>
              <a:ext uri="{FF2B5EF4-FFF2-40B4-BE49-F238E27FC236}">
                <a16:creationId xmlns:a16="http://schemas.microsoft.com/office/drawing/2014/main" id="{D308C47B-BD79-FA09-32BA-2AE3E7713ADA}"/>
              </a:ext>
            </a:extLst>
          </xdr:cNvPr>
          <xdr:cNvSpPr txBox="1"/>
        </xdr:nvSpPr>
        <xdr:spPr>
          <a:xfrm>
            <a:off x="599322" y="958849"/>
            <a:ext cx="1412178" cy="6960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latin typeface="Algerian" panose="04020705040A02060702" pitchFamily="82" charset="0"/>
              </a:rPr>
              <a:t>AVG </a:t>
            </a:r>
            <a:r>
              <a:rPr lang="en-IN" sz="1100" b="1" i="0" u="none" strike="noStrike">
                <a:solidFill>
                  <a:schemeClr val="bg1"/>
                </a:solidFill>
                <a:latin typeface="Algerian" panose="04020705040A02060702" pitchFamily="82" charset="0"/>
                <a:ea typeface="Calibri"/>
                <a:cs typeface="Calibri"/>
              </a:rPr>
              <a:t>Profit Margine</a:t>
            </a:r>
          </a:p>
        </xdr:txBody>
      </xdr:sp>
    </xdr:grpSp>
    <xdr:clientData/>
  </xdr:twoCellAnchor>
  <xdr:twoCellAnchor>
    <xdr:from>
      <xdr:col>9</xdr:col>
      <xdr:colOff>231689</xdr:colOff>
      <xdr:row>4</xdr:row>
      <xdr:rowOff>57150</xdr:rowOff>
    </xdr:from>
    <xdr:to>
      <xdr:col>12</xdr:col>
      <xdr:colOff>266699</xdr:colOff>
      <xdr:row>8</xdr:row>
      <xdr:rowOff>111554</xdr:rowOff>
    </xdr:to>
    <xdr:grpSp>
      <xdr:nvGrpSpPr>
        <xdr:cNvPr id="76" name="Group 75">
          <a:extLst>
            <a:ext uri="{FF2B5EF4-FFF2-40B4-BE49-F238E27FC236}">
              <a16:creationId xmlns:a16="http://schemas.microsoft.com/office/drawing/2014/main" id="{C93EC8AC-A729-4345-BC1D-42B6FAAB2369}"/>
            </a:ext>
          </a:extLst>
        </xdr:cNvPr>
        <xdr:cNvGrpSpPr/>
      </xdr:nvGrpSpPr>
      <xdr:grpSpPr>
        <a:xfrm>
          <a:off x="5738871" y="796059"/>
          <a:ext cx="1870737" cy="804859"/>
          <a:chOff x="-34354" y="914400"/>
          <a:chExt cx="2042917" cy="797306"/>
        </a:xfrm>
      </xdr:grpSpPr>
      <xdr:sp macro="" textlink="">
        <xdr:nvSpPr>
          <xdr:cNvPr id="77" name="Rectangle: Rounded Corners 76">
            <a:extLst>
              <a:ext uri="{FF2B5EF4-FFF2-40B4-BE49-F238E27FC236}">
                <a16:creationId xmlns:a16="http://schemas.microsoft.com/office/drawing/2014/main" id="{6EDEAB81-FB37-BFB1-0E88-B8C6D22D5564}"/>
              </a:ext>
            </a:extLst>
          </xdr:cNvPr>
          <xdr:cNvSpPr/>
        </xdr:nvSpPr>
        <xdr:spPr>
          <a:xfrm>
            <a:off x="12700" y="946150"/>
            <a:ext cx="1962150" cy="7239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Sales_Data!T15">
        <xdr:nvSpPr>
          <xdr:cNvPr id="78" name="TextBox 77">
            <a:extLst>
              <a:ext uri="{FF2B5EF4-FFF2-40B4-BE49-F238E27FC236}">
                <a16:creationId xmlns:a16="http://schemas.microsoft.com/office/drawing/2014/main" id="{C4D07AFA-8870-E59B-2306-DC41243099A2}"/>
              </a:ext>
            </a:extLst>
          </xdr:cNvPr>
          <xdr:cNvSpPr txBox="1"/>
        </xdr:nvSpPr>
        <xdr:spPr>
          <a:xfrm>
            <a:off x="736600" y="1333500"/>
            <a:ext cx="118745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7F461D1-6FE8-4FE1-8CCE-6C00D9D17B7D}" type="TxLink">
              <a:rPr lang="en-US" sz="1400" b="0" i="0" u="none" strike="noStrike">
                <a:solidFill>
                  <a:schemeClr val="bg1"/>
                </a:solidFill>
                <a:latin typeface="Algerian" panose="04020705040A02060702" pitchFamily="82" charset="0"/>
                <a:ea typeface="Calibri"/>
                <a:cs typeface="Calibri"/>
              </a:rPr>
              <a:pPr algn="ctr"/>
              <a:t>200</a:t>
            </a:fld>
            <a:endParaRPr lang="en-IN" sz="1400">
              <a:solidFill>
                <a:schemeClr val="bg1"/>
              </a:solidFill>
              <a:latin typeface="Algerian" panose="04020705040A02060702" pitchFamily="82" charset="0"/>
            </a:endParaRPr>
          </a:p>
        </xdr:txBody>
      </xdr:sp>
      <xdr:sp macro="" textlink="">
        <xdr:nvSpPr>
          <xdr:cNvPr id="79" name="Rectangle: Rounded Corners 78">
            <a:extLst>
              <a:ext uri="{FF2B5EF4-FFF2-40B4-BE49-F238E27FC236}">
                <a16:creationId xmlns:a16="http://schemas.microsoft.com/office/drawing/2014/main" id="{D52CB6B5-A527-1E04-D590-CE017C94F618}"/>
              </a:ext>
            </a:extLst>
          </xdr:cNvPr>
          <xdr:cNvSpPr/>
        </xdr:nvSpPr>
        <xdr:spPr>
          <a:xfrm>
            <a:off x="-34354" y="952500"/>
            <a:ext cx="675704" cy="7239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
        <xdr:nvSpPr>
          <xdr:cNvPr id="80" name="TextBox 79">
            <a:extLst>
              <a:ext uri="{FF2B5EF4-FFF2-40B4-BE49-F238E27FC236}">
                <a16:creationId xmlns:a16="http://schemas.microsoft.com/office/drawing/2014/main" id="{4C100548-5E86-E86D-3305-4B1C1A78917E}"/>
              </a:ext>
            </a:extLst>
          </xdr:cNvPr>
          <xdr:cNvSpPr txBox="1"/>
        </xdr:nvSpPr>
        <xdr:spPr>
          <a:xfrm>
            <a:off x="646522" y="914400"/>
            <a:ext cx="1362041" cy="79730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lgerian" panose="04020705040A02060702" pitchFamily="82" charset="0"/>
              </a:rPr>
              <a:t>Total order</a:t>
            </a:r>
          </a:p>
        </xdr:txBody>
      </xdr:sp>
    </xdr:grpSp>
    <xdr:clientData/>
  </xdr:twoCellAnchor>
  <xdr:twoCellAnchor>
    <xdr:from>
      <xdr:col>12</xdr:col>
      <xdr:colOff>292100</xdr:colOff>
      <xdr:row>4</xdr:row>
      <xdr:rowOff>44450</xdr:rowOff>
    </xdr:from>
    <xdr:to>
      <xdr:col>15</xdr:col>
      <xdr:colOff>349248</xdr:colOff>
      <xdr:row>9</xdr:row>
      <xdr:rowOff>0</xdr:rowOff>
    </xdr:to>
    <xdr:grpSp>
      <xdr:nvGrpSpPr>
        <xdr:cNvPr id="81" name="Group 80">
          <a:extLst>
            <a:ext uri="{FF2B5EF4-FFF2-40B4-BE49-F238E27FC236}">
              <a16:creationId xmlns:a16="http://schemas.microsoft.com/office/drawing/2014/main" id="{7DF66923-F08F-4112-BBC2-FF61EFAC730A}"/>
            </a:ext>
          </a:extLst>
        </xdr:cNvPr>
        <xdr:cNvGrpSpPr/>
      </xdr:nvGrpSpPr>
      <xdr:grpSpPr>
        <a:xfrm>
          <a:off x="7635009" y="783359"/>
          <a:ext cx="1892875" cy="890732"/>
          <a:chOff x="12700" y="908050"/>
          <a:chExt cx="2002605" cy="880302"/>
        </a:xfrm>
      </xdr:grpSpPr>
      <xdr:sp macro="" textlink="">
        <xdr:nvSpPr>
          <xdr:cNvPr id="82" name="Rectangle: Rounded Corners 81">
            <a:extLst>
              <a:ext uri="{FF2B5EF4-FFF2-40B4-BE49-F238E27FC236}">
                <a16:creationId xmlns:a16="http://schemas.microsoft.com/office/drawing/2014/main" id="{4CBF1A61-14BF-47B8-6651-750281F7726A}"/>
              </a:ext>
            </a:extLst>
          </xdr:cNvPr>
          <xdr:cNvSpPr/>
        </xdr:nvSpPr>
        <xdr:spPr>
          <a:xfrm>
            <a:off x="12700" y="946150"/>
            <a:ext cx="1962150" cy="7239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Sales_Data!T18">
        <xdr:nvSpPr>
          <xdr:cNvPr id="83" name="TextBox 82">
            <a:extLst>
              <a:ext uri="{FF2B5EF4-FFF2-40B4-BE49-F238E27FC236}">
                <a16:creationId xmlns:a16="http://schemas.microsoft.com/office/drawing/2014/main" id="{6CD42CA4-CBD5-7182-28C1-9B7AAF3D15BD}"/>
              </a:ext>
            </a:extLst>
          </xdr:cNvPr>
          <xdr:cNvSpPr txBox="1"/>
        </xdr:nvSpPr>
        <xdr:spPr>
          <a:xfrm>
            <a:off x="736600" y="1384299"/>
            <a:ext cx="1187450" cy="264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B4156E6-2713-404F-A109-2531260F51F6}" type="TxLink">
              <a:rPr lang="en-US" sz="1400" b="0" i="0" u="none" strike="noStrike">
                <a:solidFill>
                  <a:schemeClr val="bg1"/>
                </a:solidFill>
                <a:latin typeface="Algerian" panose="04020705040A02060702" pitchFamily="82" charset="0"/>
                <a:ea typeface="Calibri"/>
                <a:cs typeface="Calibri"/>
              </a:rPr>
              <a:pPr algn="ctr"/>
              <a:t>245</a:t>
            </a:fld>
            <a:endParaRPr lang="en-IN" sz="1400">
              <a:solidFill>
                <a:schemeClr val="bg1"/>
              </a:solidFill>
              <a:latin typeface="Algerian" panose="04020705040A02060702" pitchFamily="82" charset="0"/>
            </a:endParaRPr>
          </a:p>
        </xdr:txBody>
      </xdr:sp>
      <xdr:sp macro="" textlink="">
        <xdr:nvSpPr>
          <xdr:cNvPr id="84" name="Rectangle: Rounded Corners 83">
            <a:extLst>
              <a:ext uri="{FF2B5EF4-FFF2-40B4-BE49-F238E27FC236}">
                <a16:creationId xmlns:a16="http://schemas.microsoft.com/office/drawing/2014/main" id="{EA324D90-5365-C2E5-2B9D-0F69A4D621C9}"/>
              </a:ext>
            </a:extLst>
          </xdr:cNvPr>
          <xdr:cNvSpPr/>
        </xdr:nvSpPr>
        <xdr:spPr>
          <a:xfrm>
            <a:off x="12700" y="952500"/>
            <a:ext cx="628650" cy="7239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
        <xdr:nvSpPr>
          <xdr:cNvPr id="85" name="TextBox 84">
            <a:extLst>
              <a:ext uri="{FF2B5EF4-FFF2-40B4-BE49-F238E27FC236}">
                <a16:creationId xmlns:a16="http://schemas.microsoft.com/office/drawing/2014/main" id="{25CF23F1-A95A-8E4C-288D-85AE6DCA3DE2}"/>
              </a:ext>
            </a:extLst>
          </xdr:cNvPr>
          <xdr:cNvSpPr txBox="1"/>
        </xdr:nvSpPr>
        <xdr:spPr>
          <a:xfrm>
            <a:off x="660007" y="908050"/>
            <a:ext cx="1355298" cy="88030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latin typeface="Algerian" panose="04020705040A02060702" pitchFamily="82" charset="0"/>
              </a:rPr>
              <a:t>AVG                </a:t>
            </a:r>
            <a:r>
              <a:rPr lang="en-IN" sz="1000" b="1" baseline="0">
                <a:solidFill>
                  <a:schemeClr val="bg1"/>
                </a:solidFill>
                <a:latin typeface="Algerian" panose="04020705040A02060702" pitchFamily="82" charset="0"/>
              </a:rPr>
              <a:t> PRICE PER UNIT</a:t>
            </a:r>
            <a:endParaRPr lang="en-IN" sz="1000" b="1">
              <a:solidFill>
                <a:schemeClr val="bg1"/>
              </a:solidFill>
              <a:latin typeface="Algerian" panose="04020705040A02060702" pitchFamily="82" charset="0"/>
            </a:endParaRPr>
          </a:p>
        </xdr:txBody>
      </xdr:sp>
    </xdr:grpSp>
    <xdr:clientData/>
  </xdr:twoCellAnchor>
  <xdr:twoCellAnchor>
    <xdr:from>
      <xdr:col>15</xdr:col>
      <xdr:colOff>361950</xdr:colOff>
      <xdr:row>4</xdr:row>
      <xdr:rowOff>69850</xdr:rowOff>
    </xdr:from>
    <xdr:to>
      <xdr:col>18</xdr:col>
      <xdr:colOff>406399</xdr:colOff>
      <xdr:row>8</xdr:row>
      <xdr:rowOff>94392</xdr:rowOff>
    </xdr:to>
    <xdr:grpSp>
      <xdr:nvGrpSpPr>
        <xdr:cNvPr id="86" name="Group 85">
          <a:extLst>
            <a:ext uri="{FF2B5EF4-FFF2-40B4-BE49-F238E27FC236}">
              <a16:creationId xmlns:a16="http://schemas.microsoft.com/office/drawing/2014/main" id="{B16F910A-CC63-4303-A6FC-DB4FA0DDAC46}"/>
            </a:ext>
          </a:extLst>
        </xdr:cNvPr>
        <xdr:cNvGrpSpPr/>
      </xdr:nvGrpSpPr>
      <xdr:grpSpPr>
        <a:xfrm>
          <a:off x="9540586" y="808759"/>
          <a:ext cx="1880177" cy="774997"/>
          <a:chOff x="12700" y="933450"/>
          <a:chExt cx="1989120" cy="767035"/>
        </a:xfrm>
      </xdr:grpSpPr>
      <xdr:sp macro="" textlink="">
        <xdr:nvSpPr>
          <xdr:cNvPr id="87" name="Rectangle: Rounded Corners 86">
            <a:extLst>
              <a:ext uri="{FF2B5EF4-FFF2-40B4-BE49-F238E27FC236}">
                <a16:creationId xmlns:a16="http://schemas.microsoft.com/office/drawing/2014/main" id="{BE140CBC-4F98-050F-6E57-8EE3C14B415A}"/>
              </a:ext>
            </a:extLst>
          </xdr:cNvPr>
          <xdr:cNvSpPr/>
        </xdr:nvSpPr>
        <xdr:spPr>
          <a:xfrm>
            <a:off x="12700" y="946150"/>
            <a:ext cx="1962150" cy="7239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REF!">
        <xdr:nvSpPr>
          <xdr:cNvPr id="88" name="TextBox 87">
            <a:extLst>
              <a:ext uri="{FF2B5EF4-FFF2-40B4-BE49-F238E27FC236}">
                <a16:creationId xmlns:a16="http://schemas.microsoft.com/office/drawing/2014/main" id="{1E174AD7-DE38-60A5-5CC1-DB119F5A8E60}"/>
              </a:ext>
            </a:extLst>
          </xdr:cNvPr>
          <xdr:cNvSpPr txBox="1"/>
        </xdr:nvSpPr>
        <xdr:spPr>
          <a:xfrm>
            <a:off x="736600" y="1333500"/>
            <a:ext cx="118745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808B75E-EBED-4E1D-81E8-B67137A7BB21}" type="TxLink">
              <a:rPr lang="en-US" sz="1400" b="0" i="0" u="none" strike="noStrike">
                <a:solidFill>
                  <a:schemeClr val="bg1"/>
                </a:solidFill>
                <a:latin typeface="Algerian" panose="04020705040A02060702" pitchFamily="82" charset="0"/>
                <a:ea typeface="Calibri"/>
                <a:cs typeface="Calibri"/>
              </a:rPr>
              <a:pPr algn="ctr"/>
              <a:t>62%</a:t>
            </a:fld>
            <a:endParaRPr lang="en-IN" sz="1400">
              <a:solidFill>
                <a:schemeClr val="bg1"/>
              </a:solidFill>
              <a:latin typeface="Algerian" panose="04020705040A02060702" pitchFamily="82" charset="0"/>
            </a:endParaRPr>
          </a:p>
        </xdr:txBody>
      </xdr:sp>
      <xdr:sp macro="" textlink="">
        <xdr:nvSpPr>
          <xdr:cNvPr id="89" name="Rectangle: Rounded Corners 88">
            <a:extLst>
              <a:ext uri="{FF2B5EF4-FFF2-40B4-BE49-F238E27FC236}">
                <a16:creationId xmlns:a16="http://schemas.microsoft.com/office/drawing/2014/main" id="{887B5444-CEB6-F66C-F233-D9374FFE5F74}"/>
              </a:ext>
            </a:extLst>
          </xdr:cNvPr>
          <xdr:cNvSpPr/>
        </xdr:nvSpPr>
        <xdr:spPr>
          <a:xfrm>
            <a:off x="12700" y="952500"/>
            <a:ext cx="628650" cy="7239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92D050"/>
              </a:solidFill>
            </a:endParaRPr>
          </a:p>
        </xdr:txBody>
      </xdr:sp>
      <xdr:sp macro="" textlink="">
        <xdr:nvSpPr>
          <xdr:cNvPr id="90" name="TextBox 89">
            <a:extLst>
              <a:ext uri="{FF2B5EF4-FFF2-40B4-BE49-F238E27FC236}">
                <a16:creationId xmlns:a16="http://schemas.microsoft.com/office/drawing/2014/main" id="{BCD328AF-AEED-344F-35E9-77BED5ABBAC1}"/>
              </a:ext>
            </a:extLst>
          </xdr:cNvPr>
          <xdr:cNvSpPr txBox="1"/>
        </xdr:nvSpPr>
        <xdr:spPr>
          <a:xfrm>
            <a:off x="660007" y="933450"/>
            <a:ext cx="1341813" cy="76703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latin typeface="Algerian" panose="04020705040A02060702" pitchFamily="82" charset="0"/>
              </a:rPr>
              <a:t>AVG              RETURN</a:t>
            </a:r>
            <a:r>
              <a:rPr lang="en-IN" sz="1000" b="1" baseline="0">
                <a:solidFill>
                  <a:schemeClr val="bg1"/>
                </a:solidFill>
                <a:latin typeface="Algerian" panose="04020705040A02060702" pitchFamily="82" charset="0"/>
              </a:rPr>
              <a:t> </a:t>
            </a:r>
            <a:r>
              <a:rPr lang="en-IN" sz="1000" b="1">
                <a:solidFill>
                  <a:schemeClr val="bg1"/>
                </a:solidFill>
                <a:latin typeface="Algerian" panose="04020705040A02060702" pitchFamily="82" charset="0"/>
              </a:rPr>
              <a:t>RATE</a:t>
            </a:r>
          </a:p>
        </xdr:txBody>
      </xdr:sp>
    </xdr:grpSp>
    <xdr:clientData/>
  </xdr:twoCellAnchor>
  <xdr:twoCellAnchor editAs="oneCell">
    <xdr:from>
      <xdr:col>6</xdr:col>
      <xdr:colOff>139700</xdr:colOff>
      <xdr:row>4</xdr:row>
      <xdr:rowOff>146050</xdr:rowOff>
    </xdr:from>
    <xdr:to>
      <xdr:col>7</xdr:col>
      <xdr:colOff>120650</xdr:colOff>
      <xdr:row>7</xdr:row>
      <xdr:rowOff>177800</xdr:rowOff>
    </xdr:to>
    <xdr:pic>
      <xdr:nvPicPr>
        <xdr:cNvPr id="92" name="Graphic 91" descr="Coins with solid fill">
          <a:extLst>
            <a:ext uri="{FF2B5EF4-FFF2-40B4-BE49-F238E27FC236}">
              <a16:creationId xmlns:a16="http://schemas.microsoft.com/office/drawing/2014/main" id="{631A9489-3D28-5743-96ED-4C4C6A3AE8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97300" y="882650"/>
          <a:ext cx="590550" cy="590550"/>
        </a:xfrm>
        <a:prstGeom prst="rect">
          <a:avLst/>
        </a:prstGeom>
      </xdr:spPr>
    </xdr:pic>
    <xdr:clientData/>
  </xdr:twoCellAnchor>
  <xdr:twoCellAnchor editAs="oneCell">
    <xdr:from>
      <xdr:col>0</xdr:col>
      <xdr:colOff>38100</xdr:colOff>
      <xdr:row>5</xdr:row>
      <xdr:rowOff>0</xdr:rowOff>
    </xdr:from>
    <xdr:to>
      <xdr:col>0</xdr:col>
      <xdr:colOff>552450</xdr:colOff>
      <xdr:row>7</xdr:row>
      <xdr:rowOff>177800</xdr:rowOff>
    </xdr:to>
    <xdr:pic>
      <xdr:nvPicPr>
        <xdr:cNvPr id="94" name="Graphic 93" descr="Money with solid fill">
          <a:extLst>
            <a:ext uri="{FF2B5EF4-FFF2-40B4-BE49-F238E27FC236}">
              <a16:creationId xmlns:a16="http://schemas.microsoft.com/office/drawing/2014/main" id="{F947E73C-B6B9-83F8-324F-B401283EA8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920750"/>
          <a:ext cx="514350" cy="552450"/>
        </a:xfrm>
        <a:prstGeom prst="rect">
          <a:avLst/>
        </a:prstGeom>
      </xdr:spPr>
    </xdr:pic>
    <xdr:clientData/>
  </xdr:twoCellAnchor>
  <xdr:twoCellAnchor editAs="oneCell">
    <xdr:from>
      <xdr:col>3</xdr:col>
      <xdr:colOff>23000</xdr:colOff>
      <xdr:row>4</xdr:row>
      <xdr:rowOff>92850</xdr:rowOff>
    </xdr:from>
    <xdr:to>
      <xdr:col>4</xdr:col>
      <xdr:colOff>133400</xdr:colOff>
      <xdr:row>8</xdr:row>
      <xdr:rowOff>69900</xdr:rowOff>
    </xdr:to>
    <xdr:pic>
      <xdr:nvPicPr>
        <xdr:cNvPr id="96" name="Graphic 95" descr="Dollar with solid fill">
          <a:extLst>
            <a:ext uri="{FF2B5EF4-FFF2-40B4-BE49-F238E27FC236}">
              <a16:creationId xmlns:a16="http://schemas.microsoft.com/office/drawing/2014/main" id="{2C63F08D-56F0-E02F-6519-F27676F5E18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51800" y="829450"/>
          <a:ext cx="720000" cy="720000"/>
        </a:xfrm>
        <a:prstGeom prst="rect">
          <a:avLst/>
        </a:prstGeom>
      </xdr:spPr>
    </xdr:pic>
    <xdr:clientData/>
  </xdr:twoCellAnchor>
  <xdr:twoCellAnchor editAs="oneCell">
    <xdr:from>
      <xdr:col>9</xdr:col>
      <xdr:colOff>266700</xdr:colOff>
      <xdr:row>4</xdr:row>
      <xdr:rowOff>127000</xdr:rowOff>
    </xdr:from>
    <xdr:to>
      <xdr:col>10</xdr:col>
      <xdr:colOff>133350</xdr:colOff>
      <xdr:row>8</xdr:row>
      <xdr:rowOff>6350</xdr:rowOff>
    </xdr:to>
    <xdr:pic>
      <xdr:nvPicPr>
        <xdr:cNvPr id="98" name="Graphic 97" descr="Business Growth with solid fill">
          <a:extLst>
            <a:ext uri="{FF2B5EF4-FFF2-40B4-BE49-F238E27FC236}">
              <a16:creationId xmlns:a16="http://schemas.microsoft.com/office/drawing/2014/main" id="{B9FC89EA-8EBA-B1F5-C26F-168C31195DB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53100" y="863600"/>
          <a:ext cx="476250" cy="622300"/>
        </a:xfrm>
        <a:prstGeom prst="rect">
          <a:avLst/>
        </a:prstGeom>
      </xdr:spPr>
    </xdr:pic>
    <xdr:clientData/>
  </xdr:twoCellAnchor>
  <xdr:twoCellAnchor editAs="oneCell">
    <xdr:from>
      <xdr:col>15</xdr:col>
      <xdr:colOff>438149</xdr:colOff>
      <xdr:row>4</xdr:row>
      <xdr:rowOff>177800</xdr:rowOff>
    </xdr:from>
    <xdr:to>
      <xdr:col>16</xdr:col>
      <xdr:colOff>260350</xdr:colOff>
      <xdr:row>7</xdr:row>
      <xdr:rowOff>146050</xdr:rowOff>
    </xdr:to>
    <xdr:pic>
      <xdr:nvPicPr>
        <xdr:cNvPr id="100" name="Graphic 99" descr="Downward trend graph with solid fill">
          <a:extLst>
            <a:ext uri="{FF2B5EF4-FFF2-40B4-BE49-F238E27FC236}">
              <a16:creationId xmlns:a16="http://schemas.microsoft.com/office/drawing/2014/main" id="{B52F0E36-6F10-F1B2-FA69-C42F833AF7B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582149" y="914400"/>
          <a:ext cx="431801" cy="527050"/>
        </a:xfrm>
        <a:prstGeom prst="rect">
          <a:avLst/>
        </a:prstGeom>
      </xdr:spPr>
    </xdr:pic>
    <xdr:clientData/>
  </xdr:twoCellAnchor>
  <xdr:twoCellAnchor editAs="oneCell">
    <xdr:from>
      <xdr:col>12</xdr:col>
      <xdr:colOff>367450</xdr:colOff>
      <xdr:row>4</xdr:row>
      <xdr:rowOff>171450</xdr:rowOff>
    </xdr:from>
    <xdr:to>
      <xdr:col>13</xdr:col>
      <xdr:colOff>228600</xdr:colOff>
      <xdr:row>7</xdr:row>
      <xdr:rowOff>114300</xdr:rowOff>
    </xdr:to>
    <xdr:pic>
      <xdr:nvPicPr>
        <xdr:cNvPr id="104" name="Graphic 103" descr="Marketing with solid fill">
          <a:extLst>
            <a:ext uri="{FF2B5EF4-FFF2-40B4-BE49-F238E27FC236}">
              <a16:creationId xmlns:a16="http://schemas.microsoft.com/office/drawing/2014/main" id="{3462AAEF-22A3-FD75-0A71-DA0DA34312F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682650" y="908050"/>
          <a:ext cx="470750" cy="501650"/>
        </a:xfrm>
        <a:prstGeom prst="rect">
          <a:avLst/>
        </a:prstGeom>
      </xdr:spPr>
    </xdr:pic>
    <xdr:clientData/>
  </xdr:twoCellAnchor>
  <xdr:twoCellAnchor>
    <xdr:from>
      <xdr:col>2</xdr:col>
      <xdr:colOff>463550</xdr:colOff>
      <xdr:row>8</xdr:row>
      <xdr:rowOff>85812</xdr:rowOff>
    </xdr:from>
    <xdr:to>
      <xdr:col>10</xdr:col>
      <xdr:colOff>482600</xdr:colOff>
      <xdr:row>21</xdr:row>
      <xdr:rowOff>171451</xdr:rowOff>
    </xdr:to>
    <xdr:sp macro="" textlink="">
      <xdr:nvSpPr>
        <xdr:cNvPr id="109" name="Rectangle: Rounded Corners 108">
          <a:extLst>
            <a:ext uri="{FF2B5EF4-FFF2-40B4-BE49-F238E27FC236}">
              <a16:creationId xmlns:a16="http://schemas.microsoft.com/office/drawing/2014/main" id="{19F843F9-6C79-4991-AF07-7DB8B93E2776}"/>
            </a:ext>
          </a:extLst>
        </xdr:cNvPr>
        <xdr:cNvSpPr/>
      </xdr:nvSpPr>
      <xdr:spPr>
        <a:xfrm>
          <a:off x="1682064" y="1536015"/>
          <a:ext cx="4893104" cy="2428274"/>
        </a:xfrm>
        <a:prstGeom prst="roundRect">
          <a:avLst>
            <a:gd name="adj" fmla="val 4241"/>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B050"/>
              </a:solidFill>
              <a:latin typeface="Algerian" panose="04020705040A02060702" pitchFamily="82" charset="0"/>
            </a:rPr>
            <a:t>Sales and Profit Comparison by Category</a:t>
          </a:r>
        </a:p>
      </xdr:txBody>
    </xdr:sp>
    <xdr:clientData/>
  </xdr:twoCellAnchor>
  <xdr:twoCellAnchor>
    <xdr:from>
      <xdr:col>10</xdr:col>
      <xdr:colOff>508344</xdr:colOff>
      <xdr:row>8</xdr:row>
      <xdr:rowOff>107607</xdr:rowOff>
    </xdr:from>
    <xdr:to>
      <xdr:col>18</xdr:col>
      <xdr:colOff>432144</xdr:colOff>
      <xdr:row>21</xdr:row>
      <xdr:rowOff>139357</xdr:rowOff>
    </xdr:to>
    <xdr:sp macro="" textlink="">
      <xdr:nvSpPr>
        <xdr:cNvPr id="110" name="Rectangle: Rounded Corners 109">
          <a:extLst>
            <a:ext uri="{FF2B5EF4-FFF2-40B4-BE49-F238E27FC236}">
              <a16:creationId xmlns:a16="http://schemas.microsoft.com/office/drawing/2014/main" id="{17A75D06-DA37-4BC2-8798-CE3557A906B7}"/>
            </a:ext>
          </a:extLst>
        </xdr:cNvPr>
        <xdr:cNvSpPr/>
      </xdr:nvSpPr>
      <xdr:spPr>
        <a:xfrm>
          <a:off x="6600912" y="1557810"/>
          <a:ext cx="4797854" cy="2374385"/>
        </a:xfrm>
        <a:prstGeom prst="roundRect">
          <a:avLst>
            <a:gd name="adj" fmla="val 2947"/>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B050"/>
              </a:solidFill>
              <a:latin typeface="Algerian" panose="04020705040A02060702" pitchFamily="82" charset="0"/>
            </a:rPr>
            <a:t>Monthly Sales Trend Analysis</a:t>
          </a:r>
        </a:p>
      </xdr:txBody>
    </xdr:sp>
    <xdr:clientData/>
  </xdr:twoCellAnchor>
  <xdr:twoCellAnchor>
    <xdr:from>
      <xdr:col>2</xdr:col>
      <xdr:colOff>450850</xdr:colOff>
      <xdr:row>21</xdr:row>
      <xdr:rowOff>171450</xdr:rowOff>
    </xdr:from>
    <xdr:to>
      <xdr:col>8</xdr:col>
      <xdr:colOff>209550</xdr:colOff>
      <xdr:row>35</xdr:row>
      <xdr:rowOff>38100</xdr:rowOff>
    </xdr:to>
    <xdr:sp macro="" textlink="">
      <xdr:nvSpPr>
        <xdr:cNvPr id="112" name="Rectangle: Rounded Corners 111">
          <a:extLst>
            <a:ext uri="{FF2B5EF4-FFF2-40B4-BE49-F238E27FC236}">
              <a16:creationId xmlns:a16="http://schemas.microsoft.com/office/drawing/2014/main" id="{BAA133A0-F1ED-481C-9536-4EE936D04476}"/>
            </a:ext>
          </a:extLst>
        </xdr:cNvPr>
        <xdr:cNvSpPr/>
      </xdr:nvSpPr>
      <xdr:spPr>
        <a:xfrm>
          <a:off x="1670050" y="4044950"/>
          <a:ext cx="3416300" cy="2444750"/>
        </a:xfrm>
        <a:prstGeom prst="roundRect">
          <a:avLst>
            <a:gd name="adj" fmla="val 4241"/>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B050"/>
              </a:solidFill>
              <a:latin typeface="Algerian" panose="04020705040A02060702" pitchFamily="82" charset="0"/>
            </a:rPr>
            <a:t>top 10 Best-Selling Products</a:t>
          </a:r>
        </a:p>
      </xdr:txBody>
    </xdr:sp>
    <xdr:clientData/>
  </xdr:twoCellAnchor>
  <xdr:twoCellAnchor>
    <xdr:from>
      <xdr:col>10</xdr:col>
      <xdr:colOff>488950</xdr:colOff>
      <xdr:row>35</xdr:row>
      <xdr:rowOff>38100</xdr:rowOff>
    </xdr:from>
    <xdr:to>
      <xdr:col>18</xdr:col>
      <xdr:colOff>450850</xdr:colOff>
      <xdr:row>48</xdr:row>
      <xdr:rowOff>165100</xdr:rowOff>
    </xdr:to>
    <xdr:sp macro="" textlink="">
      <xdr:nvSpPr>
        <xdr:cNvPr id="114" name="Rectangle: Rounded Corners 113">
          <a:extLst>
            <a:ext uri="{FF2B5EF4-FFF2-40B4-BE49-F238E27FC236}">
              <a16:creationId xmlns:a16="http://schemas.microsoft.com/office/drawing/2014/main" id="{9D4DD12A-3E9E-4458-B480-C307420EF995}"/>
            </a:ext>
          </a:extLst>
        </xdr:cNvPr>
        <xdr:cNvSpPr/>
      </xdr:nvSpPr>
      <xdr:spPr>
        <a:xfrm>
          <a:off x="6584950" y="6489700"/>
          <a:ext cx="4838700" cy="2520950"/>
        </a:xfrm>
        <a:prstGeom prst="roundRect">
          <a:avLst>
            <a:gd name="adj" fmla="val 614"/>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B050"/>
              </a:solidFill>
              <a:latin typeface="Algerian" panose="04020705040A02060702" pitchFamily="82" charset="0"/>
            </a:rPr>
            <a:t>Quantity Sold vs Profit Analysis</a:t>
          </a:r>
        </a:p>
      </xdr:txBody>
    </xdr:sp>
    <xdr:clientData/>
  </xdr:twoCellAnchor>
  <xdr:twoCellAnchor>
    <xdr:from>
      <xdr:col>8</xdr:col>
      <xdr:colOff>215900</xdr:colOff>
      <xdr:row>21</xdr:row>
      <xdr:rowOff>171450</xdr:rowOff>
    </xdr:from>
    <xdr:to>
      <xdr:col>13</xdr:col>
      <xdr:colOff>355600</xdr:colOff>
      <xdr:row>35</xdr:row>
      <xdr:rowOff>19050</xdr:rowOff>
    </xdr:to>
    <xdr:sp macro="" textlink="">
      <xdr:nvSpPr>
        <xdr:cNvPr id="115" name="Rectangle: Rounded Corners 114">
          <a:extLst>
            <a:ext uri="{FF2B5EF4-FFF2-40B4-BE49-F238E27FC236}">
              <a16:creationId xmlns:a16="http://schemas.microsoft.com/office/drawing/2014/main" id="{5A076917-19C0-4363-9690-A2C92988A3A7}"/>
            </a:ext>
          </a:extLst>
        </xdr:cNvPr>
        <xdr:cNvSpPr/>
      </xdr:nvSpPr>
      <xdr:spPr>
        <a:xfrm>
          <a:off x="5092700" y="4044950"/>
          <a:ext cx="3187700" cy="2425700"/>
        </a:xfrm>
        <a:prstGeom prst="roundRect">
          <a:avLst>
            <a:gd name="adj" fmla="val 4241"/>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B050"/>
              </a:solidFill>
              <a:latin typeface="Algerian" panose="04020705040A02060702" pitchFamily="82" charset="0"/>
            </a:rPr>
            <a:t>Regional Sales Distribution</a:t>
          </a:r>
        </a:p>
      </xdr:txBody>
    </xdr:sp>
    <xdr:clientData/>
  </xdr:twoCellAnchor>
  <xdr:twoCellAnchor>
    <xdr:from>
      <xdr:col>13</xdr:col>
      <xdr:colOff>368300</xdr:colOff>
      <xdr:row>21</xdr:row>
      <xdr:rowOff>177800</xdr:rowOff>
    </xdr:from>
    <xdr:to>
      <xdr:col>18</xdr:col>
      <xdr:colOff>431800</xdr:colOff>
      <xdr:row>35</xdr:row>
      <xdr:rowOff>38100</xdr:rowOff>
    </xdr:to>
    <xdr:sp macro="" textlink="">
      <xdr:nvSpPr>
        <xdr:cNvPr id="116" name="Rectangle: Rounded Corners 115">
          <a:extLst>
            <a:ext uri="{FF2B5EF4-FFF2-40B4-BE49-F238E27FC236}">
              <a16:creationId xmlns:a16="http://schemas.microsoft.com/office/drawing/2014/main" id="{78A80A90-EF78-42D2-84EC-92C755D9CB1A}"/>
            </a:ext>
          </a:extLst>
        </xdr:cNvPr>
        <xdr:cNvSpPr/>
      </xdr:nvSpPr>
      <xdr:spPr>
        <a:xfrm>
          <a:off x="8293100" y="4051300"/>
          <a:ext cx="3111500" cy="2438400"/>
        </a:xfrm>
        <a:prstGeom prst="roundRect">
          <a:avLst>
            <a:gd name="adj" fmla="val 4241"/>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rgbClr val="00B050"/>
              </a:solidFill>
              <a:latin typeface="Algerian" panose="04020705040A02060702" pitchFamily="82" charset="0"/>
            </a:rPr>
            <a:t>Total Profit by Category</a:t>
          </a:r>
        </a:p>
        <a:p>
          <a:pPr algn="l"/>
          <a:endParaRPr lang="en-IN" sz="1200" b="1">
            <a:solidFill>
              <a:srgbClr val="00B050"/>
            </a:solidFill>
            <a:latin typeface="Algerian" panose="04020705040A02060702" pitchFamily="82" charset="0"/>
          </a:endParaRPr>
        </a:p>
      </xdr:txBody>
    </xdr:sp>
    <xdr:clientData/>
  </xdr:twoCellAnchor>
  <xdr:twoCellAnchor>
    <xdr:from>
      <xdr:col>2</xdr:col>
      <xdr:colOff>577850</xdr:colOff>
      <xdr:row>9</xdr:row>
      <xdr:rowOff>165100</xdr:rowOff>
    </xdr:from>
    <xdr:to>
      <xdr:col>10</xdr:col>
      <xdr:colOff>387350</xdr:colOff>
      <xdr:row>21</xdr:row>
      <xdr:rowOff>107950</xdr:rowOff>
    </xdr:to>
    <xdr:graphicFrame macro="">
      <xdr:nvGraphicFramePr>
        <xdr:cNvPr id="117" name="Chart 116">
          <a:extLst>
            <a:ext uri="{FF2B5EF4-FFF2-40B4-BE49-F238E27FC236}">
              <a16:creationId xmlns:a16="http://schemas.microsoft.com/office/drawing/2014/main" id="{98E2E479-A00E-4F6A-A84C-B9F23D7EB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590550</xdr:colOff>
      <xdr:row>10</xdr:row>
      <xdr:rowOff>102973</xdr:rowOff>
    </xdr:from>
    <xdr:to>
      <xdr:col>18</xdr:col>
      <xdr:colOff>361950</xdr:colOff>
      <xdr:row>21</xdr:row>
      <xdr:rowOff>127000</xdr:rowOff>
    </xdr:to>
    <xdr:graphicFrame macro="">
      <xdr:nvGraphicFramePr>
        <xdr:cNvPr id="119" name="Chart 118">
          <a:extLst>
            <a:ext uri="{FF2B5EF4-FFF2-40B4-BE49-F238E27FC236}">
              <a16:creationId xmlns:a16="http://schemas.microsoft.com/office/drawing/2014/main" id="{0DE3B822-DDC9-4DF8-868D-559821130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273050</xdr:colOff>
      <xdr:row>23</xdr:row>
      <xdr:rowOff>145878</xdr:rowOff>
    </xdr:from>
    <xdr:to>
      <xdr:col>13</xdr:col>
      <xdr:colOff>311150</xdr:colOff>
      <xdr:row>34</xdr:row>
      <xdr:rowOff>107949</xdr:rowOff>
    </xdr:to>
    <xdr:graphicFrame macro="">
      <xdr:nvGraphicFramePr>
        <xdr:cNvPr id="121" name="Chart 120">
          <a:extLst>
            <a:ext uri="{FF2B5EF4-FFF2-40B4-BE49-F238E27FC236}">
              <a16:creationId xmlns:a16="http://schemas.microsoft.com/office/drawing/2014/main" id="{2F8A5456-AA95-4C46-BC55-693BFF218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552451</xdr:colOff>
      <xdr:row>23</xdr:row>
      <xdr:rowOff>128716</xdr:rowOff>
    </xdr:from>
    <xdr:to>
      <xdr:col>8</xdr:col>
      <xdr:colOff>88901</xdr:colOff>
      <xdr:row>34</xdr:row>
      <xdr:rowOff>145878</xdr:rowOff>
    </xdr:to>
    <xdr:graphicFrame macro="">
      <xdr:nvGraphicFramePr>
        <xdr:cNvPr id="123" name="Chart 122">
          <a:extLst>
            <a:ext uri="{FF2B5EF4-FFF2-40B4-BE49-F238E27FC236}">
              <a16:creationId xmlns:a16="http://schemas.microsoft.com/office/drawing/2014/main" id="{7C64C97A-03C7-4D48-9F41-1C121EAD0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539750</xdr:colOff>
      <xdr:row>36</xdr:row>
      <xdr:rowOff>137298</xdr:rowOff>
    </xdr:from>
    <xdr:to>
      <xdr:col>18</xdr:col>
      <xdr:colOff>247650</xdr:colOff>
      <xdr:row>48</xdr:row>
      <xdr:rowOff>44450</xdr:rowOff>
    </xdr:to>
    <xdr:graphicFrame macro="">
      <xdr:nvGraphicFramePr>
        <xdr:cNvPr id="124" name="Chart 123">
          <a:extLst>
            <a:ext uri="{FF2B5EF4-FFF2-40B4-BE49-F238E27FC236}">
              <a16:creationId xmlns:a16="http://schemas.microsoft.com/office/drawing/2014/main" id="{A218D22F-3686-4B3E-BF18-054E7ABD5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137297</xdr:colOff>
      <xdr:row>0</xdr:row>
      <xdr:rowOff>85809</xdr:rowOff>
    </xdr:from>
    <xdr:to>
      <xdr:col>1</xdr:col>
      <xdr:colOff>532028</xdr:colOff>
      <xdr:row>3</xdr:row>
      <xdr:rowOff>154458</xdr:rowOff>
    </xdr:to>
    <xdr:pic>
      <xdr:nvPicPr>
        <xdr:cNvPr id="3" name="Graphic 2" descr="Bullseye with solid fill">
          <a:extLst>
            <a:ext uri="{FF2B5EF4-FFF2-40B4-BE49-F238E27FC236}">
              <a16:creationId xmlns:a16="http://schemas.microsoft.com/office/drawing/2014/main" id="{D9469147-FC9D-4C8F-A818-2E162A47F6C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flipV="1">
          <a:off x="137297" y="85809"/>
          <a:ext cx="1003988" cy="609257"/>
        </a:xfrm>
        <a:prstGeom prst="rect">
          <a:avLst/>
        </a:prstGeom>
      </xdr:spPr>
    </xdr:pic>
    <xdr:clientData/>
  </xdr:twoCellAnchor>
  <xdr:twoCellAnchor>
    <xdr:from>
      <xdr:col>13</xdr:col>
      <xdr:colOff>446216</xdr:colOff>
      <xdr:row>23</xdr:row>
      <xdr:rowOff>137298</xdr:rowOff>
    </xdr:from>
    <xdr:to>
      <xdr:col>18</xdr:col>
      <xdr:colOff>291756</xdr:colOff>
      <xdr:row>34</xdr:row>
      <xdr:rowOff>94392</xdr:rowOff>
    </xdr:to>
    <xdr:graphicFrame macro="">
      <xdr:nvGraphicFramePr>
        <xdr:cNvPr id="6" name="Chart 5">
          <a:extLst>
            <a:ext uri="{FF2B5EF4-FFF2-40B4-BE49-F238E27FC236}">
              <a16:creationId xmlns:a16="http://schemas.microsoft.com/office/drawing/2014/main" id="{429FFAA7-4D10-427E-8339-902D21992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471959</xdr:colOff>
      <xdr:row>35</xdr:row>
      <xdr:rowOff>36727</xdr:rowOff>
    </xdr:from>
    <xdr:to>
      <xdr:col>10</xdr:col>
      <xdr:colOff>497187</xdr:colOff>
      <xdr:row>48</xdr:row>
      <xdr:rowOff>163727</xdr:rowOff>
    </xdr:to>
    <xdr:sp macro="" textlink="">
      <xdr:nvSpPr>
        <xdr:cNvPr id="7" name="Rectangle: Rounded Corners 6">
          <a:extLst>
            <a:ext uri="{FF2B5EF4-FFF2-40B4-BE49-F238E27FC236}">
              <a16:creationId xmlns:a16="http://schemas.microsoft.com/office/drawing/2014/main" id="{76EDFE71-A648-46DC-A3E3-3BA2BC101B8B}"/>
            </a:ext>
          </a:extLst>
        </xdr:cNvPr>
        <xdr:cNvSpPr/>
      </xdr:nvSpPr>
      <xdr:spPr>
        <a:xfrm>
          <a:off x="1690473" y="6352403"/>
          <a:ext cx="4899282" cy="2469635"/>
        </a:xfrm>
        <a:prstGeom prst="roundRect">
          <a:avLst>
            <a:gd name="adj" fmla="val 614"/>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B050"/>
              </a:solidFill>
              <a:latin typeface="Algerian" panose="04020705040A02060702" pitchFamily="82" charset="0"/>
            </a:rPr>
            <a:t>Most Profitable Products</a:t>
          </a:r>
        </a:p>
      </xdr:txBody>
    </xdr:sp>
    <xdr:clientData/>
  </xdr:twoCellAnchor>
  <xdr:twoCellAnchor>
    <xdr:from>
      <xdr:col>2</xdr:col>
      <xdr:colOff>549189</xdr:colOff>
      <xdr:row>36</xdr:row>
      <xdr:rowOff>163041</xdr:rowOff>
    </xdr:from>
    <xdr:to>
      <xdr:col>10</xdr:col>
      <xdr:colOff>351824</xdr:colOff>
      <xdr:row>47</xdr:row>
      <xdr:rowOff>180202</xdr:rowOff>
    </xdr:to>
    <xdr:graphicFrame macro="">
      <xdr:nvGraphicFramePr>
        <xdr:cNvPr id="10" name="Chart 9">
          <a:extLst>
            <a:ext uri="{FF2B5EF4-FFF2-40B4-BE49-F238E27FC236}">
              <a16:creationId xmlns:a16="http://schemas.microsoft.com/office/drawing/2014/main" id="{EA46E848-0BB1-42E3-A869-FDD35ACAC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0</xdr:colOff>
      <xdr:row>8</xdr:row>
      <xdr:rowOff>145879</xdr:rowOff>
    </xdr:from>
    <xdr:to>
      <xdr:col>2</xdr:col>
      <xdr:colOff>454797</xdr:colOff>
      <xdr:row>16</xdr:row>
      <xdr:rowOff>120136</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0CBE9194-6772-41EB-8A5F-962C20ACFEE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1596082"/>
              <a:ext cx="1673311" cy="1415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34324</xdr:rowOff>
    </xdr:from>
    <xdr:to>
      <xdr:col>2</xdr:col>
      <xdr:colOff>411891</xdr:colOff>
      <xdr:row>39</xdr:row>
      <xdr:rowOff>128717</xdr:rowOff>
    </xdr:to>
    <mc:AlternateContent xmlns:mc="http://schemas.openxmlformats.org/markup-compatibility/2006" xmlns:a14="http://schemas.microsoft.com/office/drawing/2010/main">
      <mc:Choice Requires="a14">
        <xdr:graphicFrame macro="">
          <xdr:nvGraphicFramePr>
            <xdr:cNvPr id="4" name="Product 2">
              <a:extLst>
                <a:ext uri="{FF2B5EF4-FFF2-40B4-BE49-F238E27FC236}">
                  <a16:creationId xmlns:a16="http://schemas.microsoft.com/office/drawing/2014/main" id="{01944212-3906-4B05-8694-689991DD02B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0" y="3106351"/>
              <a:ext cx="1630405" cy="4058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171621</xdr:rowOff>
    </xdr:from>
    <xdr:to>
      <xdr:col>2</xdr:col>
      <xdr:colOff>411891</xdr:colOff>
      <xdr:row>48</xdr:row>
      <xdr:rowOff>115454</xdr:rowOff>
    </xdr:to>
    <mc:AlternateContent xmlns:mc="http://schemas.openxmlformats.org/markup-compatibility/2006" xmlns:a14="http://schemas.microsoft.com/office/drawing/2010/main">
      <mc:Choice Requires="a14">
        <xdr:graphicFrame macro="">
          <xdr:nvGraphicFramePr>
            <xdr:cNvPr id="5" name="Category 2">
              <a:extLst>
                <a:ext uri="{FF2B5EF4-FFF2-40B4-BE49-F238E27FC236}">
                  <a16:creationId xmlns:a16="http://schemas.microsoft.com/office/drawing/2014/main" id="{DD347FB8-D121-49E9-8DAB-A9AFF97AE4C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7027905"/>
              <a:ext cx="1630405" cy="1656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aikannan S" refreshedDate="45865.922759490742" createdVersion="8" refreshedVersion="8" minRefreshableVersion="3" recordCount="27" xr:uid="{0C3FC53D-0190-48BC-942B-2757CA81DB72}">
  <cacheSource type="worksheet">
    <worksheetSource ref="A1:K28" sheet="Return Data"/>
  </cacheSource>
  <cacheFields count="11">
    <cacheField name="Return_ID" numFmtId="2">
      <sharedItems/>
    </cacheField>
    <cacheField name="Order_ID" numFmtId="2">
      <sharedItems/>
    </cacheField>
    <cacheField name="Order_Date" numFmtId="164">
      <sharedItems containsSemiMixedTypes="0" containsNonDate="0" containsDate="1" containsString="0" minDate="2022-04-25T00:00:00" maxDate="2025-07-04T00:00:00"/>
    </cacheField>
    <cacheField name="Return_Date" numFmtId="164">
      <sharedItems containsSemiMixedTypes="0" containsNonDate="0" containsDate="1" containsString="0" minDate="2022-04-30T00:00:00" maxDate="2025-07-09T00:00:00"/>
    </cacheField>
    <cacheField name="Return_Reason" numFmtId="0">
      <sharedItems count="5">
        <s v="Wrong Product"/>
        <s v="Customer Cancelled"/>
        <s v="Damaged Product"/>
        <s v="Delayed Delivery"/>
        <s v="No Longer Needed"/>
      </sharedItems>
    </cacheField>
    <cacheField name="Quantity_Returned" numFmtId="1">
      <sharedItems containsSemiMixedTypes="0" containsString="0" containsNumber="1" containsInteger="1" minValue="1" maxValue="3"/>
    </cacheField>
    <cacheField name="Refund_Amount" numFmtId="1">
      <sharedItems containsSemiMixedTypes="0" containsString="0" containsNumber="1" minValue="21.56" maxValue="1277.1600000000001"/>
    </cacheField>
    <cacheField name="Sales" numFmtId="2">
      <sharedItems containsSemiMixedTypes="0" containsString="0" containsNumber="1" minValue="43.12" maxValue="3831.4800000000005"/>
    </cacheField>
    <cacheField name="Refund_Amount2" numFmtId="1">
      <sharedItems containsSemiMixedTypes="0" containsString="0" containsNumber="1" minValue="21.56" maxValue="1277.1600000000001"/>
    </cacheField>
    <cacheField name="Return_Rate" numFmtId="9">
      <sharedItems containsSemiMixedTypes="0" containsString="0" containsNumber="1" minValue="0.33333333333333331" maxValue="1"/>
    </cacheField>
    <cacheField name="Year_Month" numFmtId="0">
      <sharedItems count="14">
        <s v="May-2025"/>
        <s v="Apr-2025"/>
        <s v="Sep-2024"/>
        <s v="Apr-2022"/>
        <s v="Nov-2024"/>
        <s v="Jul-2025"/>
        <s v="Jun-2025"/>
        <s v="Jul-2024"/>
        <s v="Jan-2025"/>
        <s v="Feb-2025"/>
        <s v="Mar-2025"/>
        <s v="Dec-2024"/>
        <s v="Oct-2024"/>
        <s v="Aug-2024"/>
      </sharedItems>
    </cacheField>
  </cacheFields>
  <extLst>
    <ext xmlns:x14="http://schemas.microsoft.com/office/spreadsheetml/2009/9/main" uri="{725AE2AE-9491-48be-B2B4-4EB974FC3084}">
      <x14:pivotCacheDefinition pivotCacheId="818560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aikannan S" refreshedDate="45865.928428587962" createdVersion="8" refreshedVersion="8" minRefreshableVersion="3" recordCount="200" xr:uid="{520FD741-C9B5-4618-87F8-B1D580C28E03}">
  <cacheSource type="worksheet">
    <worksheetSource name="Table1"/>
  </cacheSource>
  <cacheFields count="18">
    <cacheField name="Order_ID" numFmtId="2">
      <sharedItems/>
    </cacheField>
    <cacheField name="Order_Date" numFmtId="164">
      <sharedItems containsSemiMixedTypes="0" containsNonDate="0" containsDate="1" containsString="0" minDate="2022-04-25T00:00:00" maxDate="2025-07-19T00:00:00"/>
    </cacheField>
    <cacheField name="Customer_Name" numFmtId="0">
      <sharedItems count="200">
        <s v="John King"/>
        <s v="Marcus Hess"/>
        <s v="Emily Richards"/>
        <s v="Keith Black"/>
        <s v="Robert Wood"/>
        <s v="Melissa Lewis"/>
        <s v="Michael George"/>
        <s v="Omar Lane"/>
        <s v="Courtney Henderson"/>
        <s v="Christine Bridges"/>
        <s v="Lindsey Gonzales"/>
        <s v="Mike Mcdonald"/>
        <s v="Joshua Combs"/>
        <s v="James Hodge"/>
        <s v="Ashley Perez"/>
        <s v="Karl Singh"/>
        <s v="David Mcgrath"/>
        <s v="Amanda Lane"/>
        <s v="Mrs. Laura Valencia"/>
        <s v="David Chavez"/>
        <s v="James Mitchell"/>
        <s v="Shelly Petersen"/>
        <s v="James Chen"/>
        <s v="Michael Jones"/>
        <s v="Mary Rogers"/>
        <s v="Kimberly Young"/>
        <s v="Donald Day"/>
        <s v="Barbara White"/>
        <s v="Joseph Vasquez"/>
        <s v="Jeffrey Perez"/>
        <s v="Felicia Davila"/>
        <s v="Kelly Walsh"/>
        <s v="Adam Cochran"/>
        <s v="Melissa Leach"/>
        <s v="Bill Anderson"/>
        <s v="Sara Jackson"/>
        <s v="Melissa Cruz"/>
        <s v="Amanda Jensen"/>
        <s v="Taylor Espinoza"/>
        <s v="Angelica Green"/>
        <s v="Mark Smith"/>
        <s v="Jeanne Collins"/>
        <s v="Jason Navarro"/>
        <s v="Tracy Burke"/>
        <s v="Dennis Steele"/>
        <s v="Robert Edwards"/>
        <s v="Nicholas Curry"/>
        <s v="Autumn Jordan"/>
        <s v="Annette Sharp"/>
        <s v="Raven Avila"/>
        <s v="Victor Walker"/>
        <s v="Christopher Boyer"/>
        <s v="Michael Thompson"/>
        <s v="Randy Landry"/>
        <s v="Henry Cooper"/>
        <s v="John Wilson"/>
        <s v="Aaron Gilbert"/>
        <s v="Robert Howe"/>
        <s v="Laurie Pace"/>
        <s v="Kari Hamilton"/>
        <s v="Douglas Banks"/>
        <s v="James Arnold"/>
        <s v="Angela Miller"/>
        <s v="Henry Carrillo"/>
        <s v="Carolyn Collins"/>
        <s v="Alexander Bailey"/>
        <s v="Chelsey Garcia"/>
        <s v="Susan Wright"/>
        <s v="Elizabeth Phillips"/>
        <s v="Stephen Hubbard"/>
        <s v="Bradley Bates"/>
        <s v="Kara Smith"/>
        <s v="Elizabeth Nash"/>
        <s v="Mitchell Bailey"/>
        <s v="Deborah Barnes"/>
        <s v="Vincent Jones"/>
        <s v="Raymond Mcguire"/>
        <s v="Brittany Mccoy"/>
        <s v="Michael Sampson"/>
        <s v="Phyllis Gonzalez"/>
        <s v="Jasmine Reed"/>
        <s v="Jeff Adams"/>
        <s v="Roy Hughes"/>
        <s v="Paula Martinez"/>
        <s v="Eric Stewart"/>
        <s v="Ms. Julie Scott DDS"/>
        <s v="Michael Lane"/>
        <s v="Danielle Jones"/>
        <s v="Heather Crane"/>
        <s v="Megan Leon"/>
        <s v="Priscilla Moore"/>
        <s v="Samuel Coleman"/>
        <s v="Jessica Martin"/>
        <s v="Matthew Mitchell"/>
        <s v="Michael Hamilton"/>
        <s v="Brittany Smith"/>
        <s v="Corey Marquez"/>
        <s v="Brendan Harris"/>
        <s v="Christian Morgan"/>
        <s v="Madison Harding"/>
        <s v="Daniel Hawkins"/>
        <s v="Pamela Horton"/>
        <s v="Megan Hall"/>
        <s v="Teresa Vasquez"/>
        <s v="Samuel Schneider"/>
        <s v="Scott Romero"/>
        <s v="Christina Short"/>
        <s v="Michael Stone"/>
        <s v="Larry Munoz"/>
        <s v="Marc Gray"/>
        <s v="Gary Davis"/>
        <s v="Heather Guzman"/>
        <s v="Cory Griffin"/>
        <s v="Eric Macias"/>
        <s v="Amber Doyle"/>
        <s v="Gabrielle Nelson"/>
        <s v="Dr. Alicia Berg"/>
        <s v="Christina Macias"/>
        <s v="Victoria Stevens"/>
        <s v="Valerie Salazar"/>
        <s v="Amanda Johnson"/>
        <s v="Linda Clay"/>
        <s v="Jason Johnson"/>
        <s v="Gerald Gonzalez"/>
        <s v="Anne Davis"/>
        <s v="Yvette Bell"/>
        <s v="Tina Walton"/>
        <s v="John Ritter"/>
        <s v="Heidi Trujillo"/>
        <s v="Miguel Smith"/>
        <s v="Margaret Jones"/>
        <s v="Danielle Hines"/>
        <s v="Brian Rocha"/>
        <s v="Deborah Merritt"/>
        <s v="Brenda Mitchell"/>
        <s v="Craig Rodriguez"/>
        <s v="Corey Sanchez"/>
        <s v="Cheryl Simmons"/>
        <s v="Susan Caldwell"/>
        <s v="Nathaniel Lindsey"/>
        <s v="Christopher Brown"/>
        <s v="Ashley Cooper"/>
        <s v="Timothy Hurley"/>
        <s v="Michelle Ford"/>
        <s v="Michael Miller"/>
        <s v="Susan Johnson"/>
        <s v="Oscar Dominguez"/>
        <s v="Thomas Miller"/>
        <s v="Michelle Thompson"/>
        <s v="Sherry Esparza"/>
        <s v="Martin Reyes"/>
        <s v="Amy Terry"/>
        <s v="Nathaniel King"/>
        <s v="Shane Green"/>
        <s v="Tonya Daniels"/>
        <s v="Beverly Hopkins"/>
        <s v="Amy Li MD"/>
        <s v="Katie Khan"/>
        <s v="Eric Freeman"/>
        <s v="Sara Ball"/>
        <s v="Stephanie Smith"/>
        <s v="Dennis Hunter"/>
        <s v="Kelly Baker"/>
        <s v="Andrew Mckinney"/>
        <s v="Stanley Jimenez"/>
        <s v="Samuel Campbell"/>
        <s v="Andre Heath"/>
        <s v="Robert Johnson"/>
        <s v="Lisa Whitehead"/>
        <s v="Michael Moore"/>
        <s v="Christy Maldonado"/>
        <s v="Sara Little"/>
        <s v="Christopher Guerrero"/>
        <s v="Melissa Yoder"/>
        <s v="Deborah Thompson"/>
        <s v="Jamie Cline"/>
        <s v="Jennifer Torres"/>
        <s v="Bradley Macias"/>
        <s v="Joshua West"/>
        <s v="Cindy Hunter"/>
        <s v="Maria Ortega"/>
        <s v="Christopher Taylor"/>
        <s v="John Anderson"/>
        <s v="Stephen Long"/>
        <s v="James Stewart"/>
        <s v="Jennifer Johnson"/>
        <s v="John Mckenzie"/>
        <s v="Mallory Guerrero"/>
        <s v="Miss Patricia Duarte"/>
        <s v="Amy Graham"/>
        <s v="Karen Moore"/>
        <s v="Dr. Michael Smith"/>
        <s v="Katherine James"/>
        <s v="Lawrence Howard"/>
        <s v="Wendy Valenzuela"/>
        <s v="Michael Mccarthy"/>
        <s v="John Walker"/>
        <s v="Joseph Mueller"/>
        <s v="Rachel King"/>
        <s v="Richard Meyer"/>
      </sharedItems>
    </cacheField>
    <cacheField name="Customer_ID" numFmtId="0">
      <sharedItems containsSemiMixedTypes="0" containsString="0" containsNumber="1" containsInteger="1" minValue="1000" maxValue="9910"/>
    </cacheField>
    <cacheField name="Region" numFmtId="0">
      <sharedItems count="4">
        <s v="North"/>
        <s v="West"/>
        <s v="East"/>
        <s v="South"/>
      </sharedItems>
    </cacheField>
    <cacheField name="Category" numFmtId="0">
      <sharedItems count="5">
        <s v="Home &amp; Kitchen"/>
        <s v="Clothing"/>
        <s v="Books"/>
        <s v="Electronics"/>
        <s v="Sports"/>
      </sharedItems>
    </cacheField>
    <cacheField name="Product" numFmtId="0">
      <sharedItems count="20">
        <s v="Vacuum Cleaner"/>
        <s v="T-Shirt"/>
        <s v="Textbook"/>
        <s v="Laptop"/>
        <s v="Smartphone"/>
        <s v="Jacket"/>
        <s v="Jeans"/>
        <s v="Shirt"/>
        <s v="Football"/>
        <s v="Dumbbells"/>
        <s v="Blender"/>
        <s v="Biography"/>
        <s v="Tablet"/>
        <s v="Novel"/>
        <s v="Comics"/>
        <s v="Cookware Set"/>
        <s v="Tennis Racket"/>
        <s v="Headphones"/>
        <s v="Running Shoes"/>
        <s v="Microwave"/>
      </sharedItems>
    </cacheField>
    <cacheField name="Quantity" numFmtId="1">
      <sharedItems containsSemiMixedTypes="0" containsString="0" containsNumber="1" containsInteger="1" minValue="1" maxValue="10"/>
    </cacheField>
    <cacheField name="Unit_Price" numFmtId="2">
      <sharedItems containsSemiMixedTypes="0" containsString="0" containsNumber="1" minValue="10.78" maxValue="496.46"/>
    </cacheField>
    <cacheField name="Sales" numFmtId="2">
      <sharedItems containsSemiMixedTypes="0" containsString="0" containsNumber="1" minValue="16.34" maxValue="4621.3999999999996"/>
    </cacheField>
    <cacheField name="Cost" numFmtId="2">
      <sharedItems containsSemiMixedTypes="0" containsString="0" containsNumber="1" minValue="13.44" maxValue="3666.38"/>
    </cacheField>
    <cacheField name="Profit" numFmtId="2">
      <sharedItems containsSemiMixedTypes="0" containsString="0" containsNumber="1" minValue="2.9000000000000004" maxValue="1819.0999999999995"/>
    </cacheField>
    <cacheField name="Month" numFmtId="164">
      <sharedItems/>
    </cacheField>
    <cacheField name="Year" numFmtId="0">
      <sharedItems/>
    </cacheField>
    <cacheField name="Month_year" numFmtId="0">
      <sharedItems count="14">
        <s v="Jul-2025"/>
        <s v="Jun-2025"/>
        <s v="May-2025"/>
        <s v="Apr-2025"/>
        <s v="Mar-2025"/>
        <s v="Feb-2025"/>
        <s v="Jan-2025"/>
        <s v="Dec-2024"/>
        <s v="Nov-2024"/>
        <s v="Oct-2024"/>
        <s v="Sep-2024"/>
        <s v="Aug-2024"/>
        <s v="Jul-2024"/>
        <s v="Apr-2022"/>
      </sharedItems>
    </cacheField>
    <cacheField name="Profit_margin " numFmtId="9">
      <sharedItems containsSemiMixedTypes="0" containsString="0" containsNumber="1" minValue="0.10117827868852448" maxValue="0.39730150228275557"/>
    </cacheField>
    <cacheField name="Average_price" numFmtId="2">
      <sharedItems containsSemiMixedTypes="0" containsString="0" containsNumber="1" minValue="10.78" maxValue="496.46"/>
    </cacheField>
    <cacheField name="High_Profit" numFmtId="0">
      <sharedItems count="2">
        <s v="Yes"/>
        <s v="No"/>
      </sharedItems>
    </cacheField>
  </cacheFields>
  <extLst>
    <ext xmlns:x14="http://schemas.microsoft.com/office/spreadsheetml/2009/9/main" uri="{725AE2AE-9491-48be-B2B4-4EB974FC3084}">
      <x14:pivotCacheDefinition pivotCacheId="1949494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s v="AD29"/>
    <s v="4B9FF7C6"/>
    <d v="2025-05-14T00:00:00"/>
    <d v="2025-05-19T00:00:00"/>
    <x v="0"/>
    <n v="2"/>
    <n v="173.42"/>
    <n v="346.84"/>
    <n v="173.42"/>
    <n v="0.5"/>
    <x v="0"/>
  </r>
  <r>
    <s v="A592"/>
    <s v="AC575652"/>
    <d v="2025-04-20T00:00:00"/>
    <d v="2025-04-25T00:00:00"/>
    <x v="1"/>
    <n v="2"/>
    <n v="726.46"/>
    <n v="1452.92"/>
    <n v="726.46"/>
    <n v="0.5"/>
    <x v="1"/>
  </r>
  <r>
    <s v="A378"/>
    <s v="A238859A"/>
    <d v="2024-09-21T00:00:00"/>
    <d v="2024-09-26T00:00:00"/>
    <x v="1"/>
    <n v="1"/>
    <n v="336.95"/>
    <n v="336.95"/>
    <n v="336.95"/>
    <n v="1"/>
    <x v="2"/>
  </r>
  <r>
    <s v="BB92"/>
    <s v="496E3E66"/>
    <d v="2022-04-25T00:00:00"/>
    <d v="2022-04-30T00:00:00"/>
    <x v="0"/>
    <n v="3"/>
    <n v="1167.75"/>
    <n v="3503.25"/>
    <n v="1167.75"/>
    <n v="0.33333333333333331"/>
    <x v="3"/>
  </r>
  <r>
    <s v="84D8"/>
    <s v="8815A7F4"/>
    <d v="2024-11-13T00:00:00"/>
    <d v="2024-11-18T00:00:00"/>
    <x v="2"/>
    <n v="3"/>
    <n v="1277.1600000000001"/>
    <n v="3831.4800000000005"/>
    <n v="1277.1600000000001"/>
    <n v="0.33333333333333331"/>
    <x v="4"/>
  </r>
  <r>
    <s v="A175"/>
    <s v="8589B5FE"/>
    <d v="2025-07-03T00:00:00"/>
    <d v="2025-07-08T00:00:00"/>
    <x v="1"/>
    <n v="2"/>
    <n v="634.20000000000005"/>
    <n v="1268.4000000000001"/>
    <n v="634.20000000000005"/>
    <n v="0.5"/>
    <x v="5"/>
  </r>
  <r>
    <s v="A3AA"/>
    <s v="2A1942C5"/>
    <d v="2025-06-12T00:00:00"/>
    <d v="2025-06-17T00:00:00"/>
    <x v="2"/>
    <n v="3"/>
    <n v="1077.24"/>
    <n v="3231.7200000000003"/>
    <n v="1077.24"/>
    <n v="0.33333333333333331"/>
    <x v="6"/>
  </r>
  <r>
    <s v="8F28"/>
    <s v="FC96D49E"/>
    <d v="2024-07-27T00:00:00"/>
    <d v="2024-07-31T00:00:00"/>
    <x v="3"/>
    <n v="1"/>
    <n v="45.14"/>
    <n v="45.14"/>
    <n v="45.14"/>
    <n v="1"/>
    <x v="7"/>
  </r>
  <r>
    <s v="8BB8"/>
    <s v="70C27417"/>
    <d v="2025-04-08T00:00:00"/>
    <d v="2025-04-12T00:00:00"/>
    <x v="0"/>
    <n v="2"/>
    <n v="21.56"/>
    <n v="43.12"/>
    <n v="21.56"/>
    <n v="0.5"/>
    <x v="1"/>
  </r>
  <r>
    <s v="BAF0"/>
    <s v="EFFD10EE"/>
    <d v="2025-05-20T00:00:00"/>
    <d v="2025-05-24T00:00:00"/>
    <x v="4"/>
    <n v="2"/>
    <n v="415.02"/>
    <n v="830.04"/>
    <n v="415.02"/>
    <n v="0.5"/>
    <x v="0"/>
  </r>
  <r>
    <s v="B242"/>
    <s v="1A9F3CFC"/>
    <d v="2025-01-17T00:00:00"/>
    <d v="2025-01-21T00:00:00"/>
    <x v="1"/>
    <n v="1"/>
    <n v="69.92"/>
    <n v="69.92"/>
    <n v="69.92"/>
    <n v="1"/>
    <x v="8"/>
  </r>
  <r>
    <s v="A567"/>
    <s v="25BB81B3"/>
    <d v="2024-09-16T00:00:00"/>
    <d v="2024-09-20T00:00:00"/>
    <x v="0"/>
    <n v="2"/>
    <n v="915.16"/>
    <n v="1830.32"/>
    <n v="915.16"/>
    <n v="0.5"/>
    <x v="2"/>
  </r>
  <r>
    <s v="8142"/>
    <s v="94A7ACD1"/>
    <d v="2024-11-27T00:00:00"/>
    <d v="2024-12-03T00:00:00"/>
    <x v="3"/>
    <n v="3"/>
    <n v="106.98"/>
    <n v="320.94"/>
    <n v="106.98"/>
    <n v="0.33333333333333337"/>
    <x v="4"/>
  </r>
  <r>
    <s v="9A6E"/>
    <s v="5272FA06"/>
    <d v="2025-04-26T00:00:00"/>
    <d v="2025-05-02T00:00:00"/>
    <x v="1"/>
    <n v="3"/>
    <n v="847.02"/>
    <n v="2541.06"/>
    <n v="847.02"/>
    <n v="0.33333333333333331"/>
    <x v="1"/>
  </r>
  <r>
    <s v="96C4"/>
    <s v="16D77B91"/>
    <d v="2025-02-15T00:00:00"/>
    <d v="2025-02-21T00:00:00"/>
    <x v="4"/>
    <n v="2"/>
    <n v="225.68"/>
    <n v="451.36"/>
    <n v="225.68"/>
    <n v="0.5"/>
    <x v="9"/>
  </r>
  <r>
    <s v="ACF7"/>
    <s v="0BC0FD01"/>
    <d v="2025-03-14T00:00:00"/>
    <d v="2025-03-20T00:00:00"/>
    <x v="1"/>
    <n v="2"/>
    <n v="607.52"/>
    <n v="1215.04"/>
    <n v="607.52"/>
    <n v="0.5"/>
    <x v="10"/>
  </r>
  <r>
    <s v="9AEA"/>
    <s v="02F5ECEC"/>
    <d v="2024-12-31T00:00:00"/>
    <d v="2025-01-06T00:00:00"/>
    <x v="1"/>
    <n v="1"/>
    <n v="272.83"/>
    <n v="272.83"/>
    <n v="272.83"/>
    <n v="1"/>
    <x v="11"/>
  </r>
  <r>
    <s v="B632"/>
    <s v="79FFF9CE"/>
    <d v="2024-10-23T00:00:00"/>
    <d v="2024-10-29T00:00:00"/>
    <x v="0"/>
    <n v="1"/>
    <n v="130.57"/>
    <n v="130.57"/>
    <n v="130.57"/>
    <n v="1"/>
    <x v="12"/>
  </r>
  <r>
    <s v="B2CB"/>
    <s v="FCBBC806"/>
    <d v="2024-10-14T00:00:00"/>
    <d v="2024-10-17T00:00:00"/>
    <x v="4"/>
    <n v="1"/>
    <n v="147.06"/>
    <n v="147.06"/>
    <n v="147.06"/>
    <n v="1"/>
    <x v="12"/>
  </r>
  <r>
    <s v="81D9"/>
    <s v="F11C641A"/>
    <d v="2024-10-08T00:00:00"/>
    <d v="2024-10-11T00:00:00"/>
    <x v="1"/>
    <n v="3"/>
    <n v="594.66"/>
    <n v="1783.98"/>
    <n v="594.66"/>
    <n v="0.33333333333333331"/>
    <x v="12"/>
  </r>
  <r>
    <s v="A409"/>
    <s v="D24308A8"/>
    <d v="2025-01-08T00:00:00"/>
    <d v="2025-01-11T00:00:00"/>
    <x v="3"/>
    <n v="1"/>
    <n v="427.72"/>
    <n v="427.72"/>
    <n v="427.72"/>
    <n v="1"/>
    <x v="8"/>
  </r>
  <r>
    <s v="B369"/>
    <s v="00ABE844"/>
    <d v="2024-10-30T00:00:00"/>
    <d v="2024-11-02T00:00:00"/>
    <x v="3"/>
    <n v="2"/>
    <n v="149.13999999999999"/>
    <n v="298.27999999999997"/>
    <n v="149.13999999999999"/>
    <n v="0.5"/>
    <x v="12"/>
  </r>
  <r>
    <s v="9D51"/>
    <s v="01C4D1D3"/>
    <d v="2024-08-20T00:00:00"/>
    <d v="2024-08-23T00:00:00"/>
    <x v="3"/>
    <n v="1"/>
    <n v="283.92"/>
    <n v="283.92"/>
    <n v="283.92"/>
    <n v="1"/>
    <x v="13"/>
  </r>
  <r>
    <s v="B5D8"/>
    <s v="7BD2698D"/>
    <d v="2025-05-13T00:00:00"/>
    <d v="2025-05-16T00:00:00"/>
    <x v="2"/>
    <n v="2"/>
    <n v="515.67999999999995"/>
    <n v="1031.3599999999999"/>
    <n v="515.67999999999995"/>
    <n v="0.5"/>
    <x v="0"/>
  </r>
  <r>
    <s v="BFD9"/>
    <s v="83A21F1E"/>
    <d v="2025-06-01T00:00:00"/>
    <d v="2025-06-03T00:00:00"/>
    <x v="2"/>
    <n v="1"/>
    <n v="125.46"/>
    <n v="125.46"/>
    <n v="125.46"/>
    <n v="1"/>
    <x v="6"/>
  </r>
  <r>
    <s v="BB72"/>
    <s v="8F2ECE8E"/>
    <d v="2024-11-09T00:00:00"/>
    <d v="2024-11-11T00:00:00"/>
    <x v="1"/>
    <n v="3"/>
    <n v="344.79"/>
    <n v="1034.3700000000001"/>
    <n v="344.79"/>
    <n v="0.33333333333333331"/>
    <x v="4"/>
  </r>
  <r>
    <s v="8A18"/>
    <s v="34966BA5"/>
    <d v="2025-05-08T00:00:00"/>
    <d v="2025-05-10T00:00:00"/>
    <x v="0"/>
    <n v="2"/>
    <n v="129.94"/>
    <n v="259.88"/>
    <n v="129.94"/>
    <n v="0.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F44B3191"/>
    <d v="2025-07-18T00:00:00"/>
    <x v="0"/>
    <n v="9269"/>
    <x v="0"/>
    <x v="0"/>
    <x v="0"/>
    <n v="10"/>
    <n v="462.14"/>
    <n v="4621.3999999999996"/>
    <n v="2802.3"/>
    <n v="1819.0999999999995"/>
    <s v="Jul"/>
    <s v="2025"/>
    <x v="0"/>
    <n v="0.39362530834811954"/>
    <n v="462.14"/>
    <x v="0"/>
  </r>
  <r>
    <s v="4D13A19C"/>
    <d v="2025-07-16T00:00:00"/>
    <x v="1"/>
    <n v="2109"/>
    <x v="1"/>
    <x v="0"/>
    <x v="0"/>
    <n v="10"/>
    <n v="411.72"/>
    <n v="4117.2000000000007"/>
    <n v="2635.41"/>
    <n v="1481.7900000000009"/>
    <s v="Jul"/>
    <s v="2025"/>
    <x v="0"/>
    <n v="0.35990236082774718"/>
    <n v="411.72000000000008"/>
    <x v="0"/>
  </r>
  <r>
    <s v="7C91BDA3"/>
    <d v="2025-07-15T00:00:00"/>
    <x v="2"/>
    <n v="7974"/>
    <x v="2"/>
    <x v="1"/>
    <x v="1"/>
    <n v="10"/>
    <n v="402.48"/>
    <n v="4024.8"/>
    <n v="2890.64"/>
    <n v="1134.1600000000003"/>
    <s v="Jul"/>
    <s v="2025"/>
    <x v="0"/>
    <n v="0.28179288411846559"/>
    <n v="402.48"/>
    <x v="0"/>
  </r>
  <r>
    <s v="9344DD57"/>
    <d v="2025-07-12T00:00:00"/>
    <x v="3"/>
    <n v="7691"/>
    <x v="2"/>
    <x v="2"/>
    <x v="2"/>
    <n v="3"/>
    <n v="315.20999999999998"/>
    <n v="945.62999999999988"/>
    <n v="823.25"/>
    <n v="122.37999999999988"/>
    <s v="Jul"/>
    <s v="2025"/>
    <x v="0"/>
    <n v="0.12941636792402939"/>
    <n v="315.20999999999998"/>
    <x v="1"/>
  </r>
  <r>
    <s v="619AE716"/>
    <d v="2025-07-10T00:00:00"/>
    <x v="4"/>
    <n v="6595"/>
    <x v="1"/>
    <x v="1"/>
    <x v="1"/>
    <n v="7"/>
    <n v="209.74"/>
    <n v="1468.18"/>
    <n v="1033.76"/>
    <n v="434.42000000000007"/>
    <s v="Jul"/>
    <s v="2025"/>
    <x v="0"/>
    <n v="0.29589014970916377"/>
    <n v="209.74"/>
    <x v="1"/>
  </r>
  <r>
    <s v="C322A58B"/>
    <d v="2025-07-10T00:00:00"/>
    <x v="5"/>
    <n v="1021"/>
    <x v="2"/>
    <x v="3"/>
    <x v="3"/>
    <n v="5"/>
    <n v="374.35"/>
    <n v="1871.75"/>
    <n v="1460.42"/>
    <n v="411.32999999999993"/>
    <s v="Jul"/>
    <s v="2025"/>
    <x v="0"/>
    <n v="0.21975691198076663"/>
    <n v="374.35"/>
    <x v="1"/>
  </r>
  <r>
    <s v="41697CDF"/>
    <d v="2025-07-09T00:00:00"/>
    <x v="6"/>
    <n v="5678"/>
    <x v="0"/>
    <x v="3"/>
    <x v="4"/>
    <n v="8"/>
    <n v="73.91"/>
    <n v="591.28"/>
    <n v="448.4"/>
    <n v="142.88"/>
    <s v="Jul"/>
    <s v="2025"/>
    <x v="0"/>
    <n v="0.2416452442159383"/>
    <n v="73.91"/>
    <x v="1"/>
  </r>
  <r>
    <s v="8589B5FE"/>
    <d v="2025-07-03T00:00:00"/>
    <x v="7"/>
    <n v="5862"/>
    <x v="1"/>
    <x v="2"/>
    <x v="2"/>
    <n v="7"/>
    <n v="210.65"/>
    <n v="1474.55"/>
    <n v="1167.6199999999999"/>
    <n v="306.93000000000006"/>
    <s v="Jul"/>
    <s v="2025"/>
    <x v="0"/>
    <n v="0.20815163948323223"/>
    <n v="210.65"/>
    <x v="1"/>
  </r>
  <r>
    <s v="CFBB31EB"/>
    <d v="2025-07-01T00:00:00"/>
    <x v="8"/>
    <n v="7984"/>
    <x v="1"/>
    <x v="1"/>
    <x v="5"/>
    <n v="5"/>
    <n v="162.80000000000001"/>
    <n v="814"/>
    <n v="653.67999999999995"/>
    <n v="160.32000000000005"/>
    <s v="Jul"/>
    <s v="2025"/>
    <x v="0"/>
    <n v="0.19695331695331703"/>
    <n v="162.80000000000001"/>
    <x v="1"/>
  </r>
  <r>
    <s v="5FADF637"/>
    <d v="2025-06-27T00:00:00"/>
    <x v="9"/>
    <n v="5827"/>
    <x v="2"/>
    <x v="1"/>
    <x v="6"/>
    <n v="6"/>
    <n v="363.99"/>
    <n v="2183.94"/>
    <n v="1666.23"/>
    <n v="517.71"/>
    <s v="Jun"/>
    <s v="2025"/>
    <x v="1"/>
    <n v="0.2370532157476854"/>
    <n v="363.99"/>
    <x v="0"/>
  </r>
  <r>
    <s v="21B0D2D2"/>
    <d v="2025-06-26T00:00:00"/>
    <x v="10"/>
    <n v="7912"/>
    <x v="1"/>
    <x v="1"/>
    <x v="7"/>
    <n v="5"/>
    <n v="456.75"/>
    <n v="2283.75"/>
    <n v="1809.25"/>
    <n v="474.5"/>
    <s v="Jun"/>
    <s v="2025"/>
    <x v="1"/>
    <n v="0.20777230432402846"/>
    <n v="456.75"/>
    <x v="1"/>
  </r>
  <r>
    <s v="98EFC7B0"/>
    <d v="2025-06-25T00:00:00"/>
    <x v="11"/>
    <n v="5193"/>
    <x v="0"/>
    <x v="1"/>
    <x v="1"/>
    <n v="2"/>
    <n v="454.67"/>
    <n v="909.34"/>
    <n v="727.04"/>
    <n v="182.30000000000007"/>
    <s v="Jun"/>
    <s v="2025"/>
    <x v="1"/>
    <n v="0.20047506983086641"/>
    <n v="454.67"/>
    <x v="1"/>
  </r>
  <r>
    <s v="461A53F4"/>
    <d v="2025-06-25T00:00:00"/>
    <x v="12"/>
    <n v="1141"/>
    <x v="0"/>
    <x v="4"/>
    <x v="8"/>
    <n v="2"/>
    <n v="403.23"/>
    <n v="806.46"/>
    <n v="596.58000000000004"/>
    <n v="209.88"/>
    <s v="Jun"/>
    <s v="2025"/>
    <x v="1"/>
    <n v="0.26024849341566847"/>
    <n v="403.23"/>
    <x v="1"/>
  </r>
  <r>
    <s v="979C64C2"/>
    <d v="2025-06-23T00:00:00"/>
    <x v="13"/>
    <n v="8793"/>
    <x v="2"/>
    <x v="4"/>
    <x v="9"/>
    <n v="4"/>
    <n v="120.96"/>
    <n v="483.84"/>
    <n v="369.81"/>
    <n v="114.02999999999997"/>
    <s v="Jun"/>
    <s v="2025"/>
    <x v="1"/>
    <n v="0.23567708333333329"/>
    <n v="120.96"/>
    <x v="1"/>
  </r>
  <r>
    <s v="F0CB7A93"/>
    <d v="2025-06-22T00:00:00"/>
    <x v="14"/>
    <n v="5894"/>
    <x v="3"/>
    <x v="0"/>
    <x v="10"/>
    <n v="8"/>
    <n v="461.49"/>
    <n v="3691.92"/>
    <n v="2790.1"/>
    <n v="901.82000000000016"/>
    <s v="Jun"/>
    <s v="2025"/>
    <x v="1"/>
    <n v="0.24426856486597764"/>
    <n v="461.49"/>
    <x v="0"/>
  </r>
  <r>
    <s v="0DDCB8C9"/>
    <d v="2025-06-19T00:00:00"/>
    <x v="15"/>
    <n v="9306"/>
    <x v="3"/>
    <x v="2"/>
    <x v="11"/>
    <n v="4"/>
    <n v="428.87"/>
    <n v="1715.48"/>
    <n v="1056.1500000000001"/>
    <n v="659.32999999999993"/>
    <s v="Jun"/>
    <s v="2025"/>
    <x v="1"/>
    <n v="0.38434140881852302"/>
    <n v="428.87"/>
    <x v="0"/>
  </r>
  <r>
    <s v="4A0F00ED"/>
    <d v="2025-06-19T00:00:00"/>
    <x v="16"/>
    <n v="1760"/>
    <x v="0"/>
    <x v="3"/>
    <x v="12"/>
    <n v="9"/>
    <n v="288.64"/>
    <n v="2597.7599999999998"/>
    <n v="1770.9"/>
    <n v="826.85999999999967"/>
    <s v="Jun"/>
    <s v="2025"/>
    <x v="1"/>
    <n v="0.31829730229120462"/>
    <n v="288.64"/>
    <x v="0"/>
  </r>
  <r>
    <s v="590C7137"/>
    <d v="2025-06-17T00:00:00"/>
    <x v="17"/>
    <n v="6599"/>
    <x v="0"/>
    <x v="2"/>
    <x v="13"/>
    <n v="7"/>
    <n v="66.180000000000007"/>
    <n v="463.26000000000005"/>
    <n v="326.77999999999997"/>
    <n v="136.48000000000008"/>
    <s v="Jun"/>
    <s v="2025"/>
    <x v="1"/>
    <n v="0.29460777964857759"/>
    <n v="66.180000000000007"/>
    <x v="1"/>
  </r>
  <r>
    <s v="2A1942C5"/>
    <d v="2025-06-12T00:00:00"/>
    <x v="18"/>
    <n v="4939"/>
    <x v="0"/>
    <x v="2"/>
    <x v="14"/>
    <n v="6"/>
    <n v="55.95"/>
    <n v="335.70000000000005"/>
    <n v="296.25"/>
    <n v="39.450000000000045"/>
    <s v="Jun"/>
    <s v="2025"/>
    <x v="1"/>
    <n v="0.11751563896336026"/>
    <n v="55.95000000000001"/>
    <x v="1"/>
  </r>
  <r>
    <s v="0B6B7579"/>
    <d v="2025-06-11T00:00:00"/>
    <x v="19"/>
    <n v="3829"/>
    <x v="2"/>
    <x v="3"/>
    <x v="4"/>
    <n v="7"/>
    <n v="209.55"/>
    <n v="1466.8500000000001"/>
    <n v="1258.26"/>
    <n v="208.59000000000015"/>
    <s v="Jun"/>
    <s v="2025"/>
    <x v="1"/>
    <n v="0.14220267921055332"/>
    <n v="209.55"/>
    <x v="1"/>
  </r>
  <r>
    <s v="966273EE"/>
    <d v="2025-06-10T00:00:00"/>
    <x v="20"/>
    <n v="1491"/>
    <x v="2"/>
    <x v="1"/>
    <x v="1"/>
    <n v="10"/>
    <n v="269.08"/>
    <n v="2690.7999999999997"/>
    <n v="1724.88"/>
    <n v="965.91999999999962"/>
    <s v="Jun"/>
    <s v="2025"/>
    <x v="1"/>
    <n v="0.35897130964768831"/>
    <n v="269.08"/>
    <x v="0"/>
  </r>
  <r>
    <s v="9F61ABCE"/>
    <d v="2025-06-08T00:00:00"/>
    <x v="21"/>
    <n v="6215"/>
    <x v="1"/>
    <x v="1"/>
    <x v="5"/>
    <n v="1"/>
    <n v="45.14"/>
    <n v="45.14"/>
    <n v="28.37"/>
    <n v="16.77"/>
    <s v="Jun"/>
    <s v="2025"/>
    <x v="1"/>
    <n v="0.3715108551174125"/>
    <n v="45.14"/>
    <x v="1"/>
  </r>
  <r>
    <s v="BEFB05F6"/>
    <d v="2025-06-05T00:00:00"/>
    <x v="22"/>
    <n v="3193"/>
    <x v="3"/>
    <x v="0"/>
    <x v="15"/>
    <n v="9"/>
    <n v="478.43"/>
    <n v="4305.87"/>
    <n v="3666.38"/>
    <n v="639.48999999999978"/>
    <s v="Jun"/>
    <s v="2025"/>
    <x v="1"/>
    <n v="0.14851586322856933"/>
    <n v="478.43"/>
    <x v="0"/>
  </r>
  <r>
    <s v="2F255C8D"/>
    <d v="2025-06-03T00:00:00"/>
    <x v="23"/>
    <n v="2992"/>
    <x v="2"/>
    <x v="3"/>
    <x v="12"/>
    <n v="7"/>
    <n v="349.02"/>
    <n v="2443.14"/>
    <n v="2137.16"/>
    <n v="305.98"/>
    <s v="Jun"/>
    <s v="2025"/>
    <x v="1"/>
    <n v="0.12524046923221757"/>
    <n v="349.02"/>
    <x v="1"/>
  </r>
  <r>
    <s v="A31B0174"/>
    <d v="2025-06-02T00:00:00"/>
    <x v="24"/>
    <n v="1040"/>
    <x v="2"/>
    <x v="2"/>
    <x v="2"/>
    <n v="3"/>
    <n v="239.11"/>
    <n v="717.33"/>
    <n v="524.65"/>
    <n v="192.68000000000006"/>
    <s v="Jun"/>
    <s v="2025"/>
    <x v="1"/>
    <n v="0.2686071961300936"/>
    <n v="239.11"/>
    <x v="1"/>
  </r>
  <r>
    <s v="83A21F1E"/>
    <d v="2025-06-01T00:00:00"/>
    <x v="25"/>
    <n v="2912"/>
    <x v="0"/>
    <x v="0"/>
    <x v="15"/>
    <n v="5"/>
    <n v="338.67"/>
    <n v="1693.3500000000001"/>
    <n v="1350.45"/>
    <n v="342.90000000000009"/>
    <s v="Jun"/>
    <s v="2025"/>
    <x v="1"/>
    <n v="0.20249800690938086"/>
    <n v="338.67"/>
    <x v="1"/>
  </r>
  <r>
    <s v="8A47AB36"/>
    <d v="2025-05-29T00:00:00"/>
    <x v="26"/>
    <n v="6505"/>
    <x v="2"/>
    <x v="2"/>
    <x v="13"/>
    <n v="2"/>
    <n v="303.76"/>
    <n v="607.52"/>
    <n v="481.78"/>
    <n v="125.74000000000001"/>
    <s v="May"/>
    <s v="2025"/>
    <x v="2"/>
    <n v="0.20697260995522784"/>
    <n v="303.76"/>
    <x v="1"/>
  </r>
  <r>
    <s v="461657B1"/>
    <d v="2025-05-27T00:00:00"/>
    <x v="27"/>
    <n v="5144"/>
    <x v="0"/>
    <x v="2"/>
    <x v="2"/>
    <n v="10"/>
    <n v="353.83"/>
    <n v="3538.2999999999997"/>
    <n v="2638.88"/>
    <n v="899.41999999999962"/>
    <s v="May"/>
    <s v="2025"/>
    <x v="2"/>
    <n v="0.25419551762145653"/>
    <n v="353.83"/>
    <x v="0"/>
  </r>
  <r>
    <s v="30A052DC"/>
    <d v="2025-05-27T00:00:00"/>
    <x v="28"/>
    <n v="5391"/>
    <x v="3"/>
    <x v="1"/>
    <x v="1"/>
    <n v="4"/>
    <n v="387.33"/>
    <n v="1549.32"/>
    <n v="994.48"/>
    <n v="554.83999999999992"/>
    <s v="May"/>
    <s v="2025"/>
    <x v="2"/>
    <n v="0.35811840033046755"/>
    <n v="387.33"/>
    <x v="0"/>
  </r>
  <r>
    <s v="9284D2B3"/>
    <d v="2025-05-23T00:00:00"/>
    <x v="29"/>
    <n v="4297"/>
    <x v="3"/>
    <x v="2"/>
    <x v="13"/>
    <n v="5"/>
    <n v="384.55"/>
    <n v="1922.75"/>
    <n v="1639.08"/>
    <n v="283.67000000000007"/>
    <s v="May"/>
    <s v="2025"/>
    <x v="2"/>
    <n v="0.14753348069171762"/>
    <n v="384.55"/>
    <x v="1"/>
  </r>
  <r>
    <s v="1289AD2E"/>
    <d v="2025-05-23T00:00:00"/>
    <x v="30"/>
    <n v="7838"/>
    <x v="2"/>
    <x v="4"/>
    <x v="16"/>
    <n v="3"/>
    <n v="146.41"/>
    <n v="439.23"/>
    <n v="353.42"/>
    <n v="85.81"/>
    <s v="May"/>
    <s v="2025"/>
    <x v="2"/>
    <n v="0.19536461534958904"/>
    <n v="146.41"/>
    <x v="1"/>
  </r>
  <r>
    <s v="E1CD8318"/>
    <d v="2025-05-22T00:00:00"/>
    <x v="31"/>
    <n v="2127"/>
    <x v="0"/>
    <x v="3"/>
    <x v="17"/>
    <n v="8"/>
    <n v="349.71"/>
    <n v="2797.68"/>
    <n v="1896.28"/>
    <n v="901.39999999999986"/>
    <s v="May"/>
    <s v="2025"/>
    <x v="2"/>
    <n v="0.32219553344199475"/>
    <n v="349.71"/>
    <x v="0"/>
  </r>
  <r>
    <s v="EFFD10EE"/>
    <d v="2025-05-20T00:00:00"/>
    <x v="32"/>
    <n v="8740"/>
    <x v="0"/>
    <x v="3"/>
    <x v="17"/>
    <n v="3"/>
    <n v="423.03"/>
    <n v="1269.0899999999999"/>
    <n v="780.18"/>
    <n v="488.90999999999997"/>
    <s v="May"/>
    <s v="2025"/>
    <x v="2"/>
    <n v="0.38524454530411556"/>
    <n v="423.03"/>
    <x v="1"/>
  </r>
  <r>
    <s v="CDCE7CB8"/>
    <d v="2025-05-20T00:00:00"/>
    <x v="33"/>
    <n v="3687"/>
    <x v="1"/>
    <x v="1"/>
    <x v="5"/>
    <n v="6"/>
    <n v="459.89"/>
    <n v="2759.34"/>
    <n v="2065.17"/>
    <n v="694.17000000000007"/>
    <s v="May"/>
    <s v="2025"/>
    <x v="2"/>
    <n v="0.25157102785448693"/>
    <n v="459.89000000000004"/>
    <x v="0"/>
  </r>
  <r>
    <s v="4562A836"/>
    <d v="2025-05-18T00:00:00"/>
    <x v="34"/>
    <n v="9109"/>
    <x v="2"/>
    <x v="4"/>
    <x v="9"/>
    <n v="8"/>
    <n v="470.56"/>
    <n v="3764.48"/>
    <n v="3377.31"/>
    <n v="387.17000000000007"/>
    <s v="May"/>
    <s v="2025"/>
    <x v="2"/>
    <n v="0.10284820214212854"/>
    <n v="470.56"/>
    <x v="1"/>
  </r>
  <r>
    <s v="4B9FF7C6"/>
    <d v="2025-05-14T00:00:00"/>
    <x v="35"/>
    <n v="6522"/>
    <x v="0"/>
    <x v="0"/>
    <x v="10"/>
    <n v="4"/>
    <n v="114.93"/>
    <n v="459.72"/>
    <n v="394.56"/>
    <n v="65.160000000000025"/>
    <s v="May"/>
    <s v="2025"/>
    <x v="2"/>
    <n v="0.14173844949099457"/>
    <n v="114.93"/>
    <x v="1"/>
  </r>
  <r>
    <s v="0266136B"/>
    <d v="2025-05-13T00:00:00"/>
    <x v="36"/>
    <n v="6493"/>
    <x v="1"/>
    <x v="4"/>
    <x v="9"/>
    <n v="10"/>
    <n v="402.81"/>
    <n v="4028.1"/>
    <n v="2831.53"/>
    <n v="1196.5699999999997"/>
    <s v="May"/>
    <s v="2025"/>
    <x v="2"/>
    <n v="0.29705568382115632"/>
    <n v="402.81"/>
    <x v="0"/>
  </r>
  <r>
    <s v="7BD2698D"/>
    <d v="2025-05-13T00:00:00"/>
    <x v="37"/>
    <n v="8109"/>
    <x v="1"/>
    <x v="4"/>
    <x v="9"/>
    <n v="9"/>
    <n v="43"/>
    <n v="387"/>
    <n v="345.22"/>
    <n v="41.779999999999973"/>
    <s v="May"/>
    <s v="2025"/>
    <x v="2"/>
    <n v="0.10795865633074929"/>
    <n v="43"/>
    <x v="1"/>
  </r>
  <r>
    <s v="76693B5A"/>
    <d v="2025-05-13T00:00:00"/>
    <x v="38"/>
    <n v="2354"/>
    <x v="2"/>
    <x v="3"/>
    <x v="3"/>
    <n v="6"/>
    <n v="43.31"/>
    <n v="259.86"/>
    <n v="200.93"/>
    <n v="58.930000000000007"/>
    <s v="May"/>
    <s v="2025"/>
    <x v="2"/>
    <n v="0.22677595628415301"/>
    <n v="43.31"/>
    <x v="1"/>
  </r>
  <r>
    <s v="13D2C768"/>
    <d v="2025-05-10T00:00:00"/>
    <x v="39"/>
    <n v="2767"/>
    <x v="0"/>
    <x v="0"/>
    <x v="10"/>
    <n v="8"/>
    <n v="245.22"/>
    <n v="1961.76"/>
    <n v="1503.36"/>
    <n v="458.40000000000009"/>
    <s v="May"/>
    <s v="2025"/>
    <x v="2"/>
    <n v="0.23366772693907517"/>
    <n v="245.22"/>
    <x v="1"/>
  </r>
  <r>
    <s v="514F631D"/>
    <d v="2025-05-10T00:00:00"/>
    <x v="40"/>
    <n v="8308"/>
    <x v="1"/>
    <x v="3"/>
    <x v="12"/>
    <n v="6"/>
    <n v="496.46"/>
    <n v="2978.7599999999998"/>
    <n v="2062.66"/>
    <n v="916.09999999999991"/>
    <s v="May"/>
    <s v="2025"/>
    <x v="2"/>
    <n v="0.30754407874417544"/>
    <n v="496.46"/>
    <x v="0"/>
  </r>
  <r>
    <s v="34966BA5"/>
    <d v="2025-05-08T00:00:00"/>
    <x v="41"/>
    <n v="1823"/>
    <x v="2"/>
    <x v="3"/>
    <x v="17"/>
    <n v="5"/>
    <n v="30.61"/>
    <n v="153.05000000000001"/>
    <n v="106.65"/>
    <n v="46.400000000000006"/>
    <s v="May"/>
    <s v="2025"/>
    <x v="2"/>
    <n v="0.3031688990525972"/>
    <n v="30.610000000000003"/>
    <x v="1"/>
  </r>
  <r>
    <s v="028412F6"/>
    <d v="2025-05-06T00:00:00"/>
    <x v="42"/>
    <n v="4036"/>
    <x v="0"/>
    <x v="2"/>
    <x v="14"/>
    <n v="8"/>
    <n v="35.659999999999997"/>
    <n v="285.27999999999997"/>
    <n v="253"/>
    <n v="32.279999999999973"/>
    <s v="May"/>
    <s v="2025"/>
    <x v="2"/>
    <n v="0.11315199102635998"/>
    <n v="35.659999999999997"/>
    <x v="1"/>
  </r>
  <r>
    <s v="EA26C305"/>
    <d v="2025-04-29T00:00:00"/>
    <x v="43"/>
    <n v="1926"/>
    <x v="0"/>
    <x v="2"/>
    <x v="2"/>
    <n v="6"/>
    <n v="127.83"/>
    <n v="766.98"/>
    <n v="596.88"/>
    <n v="170.10000000000002"/>
    <s v="Apr"/>
    <s v="2025"/>
    <x v="3"/>
    <n v="0.22177892513494488"/>
    <n v="127.83"/>
    <x v="1"/>
  </r>
  <r>
    <s v="C9E5CF17"/>
    <d v="2025-04-29T00:00:00"/>
    <x v="44"/>
    <n v="8676"/>
    <x v="3"/>
    <x v="2"/>
    <x v="2"/>
    <n v="2"/>
    <n v="300.44"/>
    <n v="600.88"/>
    <n v="508.28"/>
    <n v="92.600000000000023"/>
    <s v="Apr"/>
    <s v="2025"/>
    <x v="3"/>
    <n v="0.1541073092797231"/>
    <n v="300.44"/>
    <x v="1"/>
  </r>
  <r>
    <s v="539BDE99"/>
    <d v="2025-04-27T00:00:00"/>
    <x v="45"/>
    <n v="9167"/>
    <x v="2"/>
    <x v="2"/>
    <x v="14"/>
    <n v="7"/>
    <n v="81.45"/>
    <n v="570.15"/>
    <n v="390.88"/>
    <n v="179.26999999999998"/>
    <s v="Apr"/>
    <s v="2025"/>
    <x v="3"/>
    <n v="0.31442602823818294"/>
    <n v="81.45"/>
    <x v="1"/>
  </r>
  <r>
    <s v="5272FA06"/>
    <d v="2025-04-26T00:00:00"/>
    <x v="46"/>
    <n v="4614"/>
    <x v="2"/>
    <x v="4"/>
    <x v="18"/>
    <n v="9"/>
    <n v="359.08"/>
    <n v="3231.72"/>
    <n v="2060.52"/>
    <n v="1171.1999999999998"/>
    <s v="Apr"/>
    <s v="2025"/>
    <x v="3"/>
    <n v="0.36240763432475581"/>
    <n v="359.08"/>
    <x v="0"/>
  </r>
  <r>
    <s v="22011196"/>
    <d v="2025-04-26T00:00:00"/>
    <x v="47"/>
    <n v="7306"/>
    <x v="1"/>
    <x v="4"/>
    <x v="9"/>
    <n v="3"/>
    <n v="86.57"/>
    <n v="259.70999999999998"/>
    <n v="181.25"/>
    <n v="78.45999999999998"/>
    <s v="Apr"/>
    <s v="2025"/>
    <x v="3"/>
    <n v="0.30210619537176076"/>
    <n v="86.57"/>
    <x v="1"/>
  </r>
  <r>
    <s v="451E4A80"/>
    <d v="2025-04-26T00:00:00"/>
    <x v="48"/>
    <n v="6521"/>
    <x v="1"/>
    <x v="3"/>
    <x v="12"/>
    <n v="1"/>
    <n v="402.24"/>
    <n v="402.24"/>
    <n v="340.22"/>
    <n v="62.019999999999982"/>
    <s v="Apr"/>
    <s v="2025"/>
    <x v="3"/>
    <n v="0.15418655529037387"/>
    <n v="402.24"/>
    <x v="1"/>
  </r>
  <r>
    <s v="9432AADC"/>
    <d v="2025-04-25T00:00:00"/>
    <x v="49"/>
    <n v="9059"/>
    <x v="0"/>
    <x v="0"/>
    <x v="19"/>
    <n v="2"/>
    <n v="317.10000000000002"/>
    <n v="634.20000000000005"/>
    <n v="524.83000000000004"/>
    <n v="109.37"/>
    <s v="Apr"/>
    <s v="2025"/>
    <x v="3"/>
    <n v="0.17245348470514033"/>
    <n v="317.10000000000002"/>
    <x v="1"/>
  </r>
  <r>
    <s v="4924C2D8"/>
    <d v="2025-04-23T00:00:00"/>
    <x v="50"/>
    <n v="7534"/>
    <x v="1"/>
    <x v="4"/>
    <x v="8"/>
    <n v="7"/>
    <n v="207.51"/>
    <n v="1452.57"/>
    <n v="883.77"/>
    <n v="568.79999999999995"/>
    <s v="Apr"/>
    <s v="2025"/>
    <x v="3"/>
    <n v="0.39158181705528822"/>
    <n v="207.51"/>
    <x v="0"/>
  </r>
  <r>
    <s v="F265182B"/>
    <d v="2025-04-21T00:00:00"/>
    <x v="51"/>
    <n v="8605"/>
    <x v="2"/>
    <x v="4"/>
    <x v="9"/>
    <n v="7"/>
    <n v="407.39"/>
    <n v="2851.73"/>
    <n v="1743.85"/>
    <n v="1107.8800000000001"/>
    <s v="Apr"/>
    <s v="2025"/>
    <x v="3"/>
    <n v="0.38849400188657413"/>
    <n v="407.39"/>
    <x v="0"/>
  </r>
  <r>
    <s v="75AF1F76"/>
    <d v="2025-04-21T00:00:00"/>
    <x v="52"/>
    <n v="8538"/>
    <x v="3"/>
    <x v="3"/>
    <x v="3"/>
    <n v="7"/>
    <n v="131.71"/>
    <n v="921.97"/>
    <n v="755.72"/>
    <n v="166.25"/>
    <s v="Apr"/>
    <s v="2025"/>
    <x v="3"/>
    <n v="0.18032040088072279"/>
    <n v="131.71"/>
    <x v="1"/>
  </r>
  <r>
    <s v="EAFFA6DF"/>
    <d v="2025-04-21T00:00:00"/>
    <x v="53"/>
    <n v="6016"/>
    <x v="2"/>
    <x v="1"/>
    <x v="6"/>
    <n v="3"/>
    <n v="183.04"/>
    <n v="549.12"/>
    <n v="383.3"/>
    <n v="165.82"/>
    <s v="Apr"/>
    <s v="2025"/>
    <x v="3"/>
    <n v="0.30197406759906759"/>
    <n v="183.04"/>
    <x v="1"/>
  </r>
  <r>
    <s v="AC575652"/>
    <d v="2025-04-20T00:00:00"/>
    <x v="54"/>
    <n v="5838"/>
    <x v="3"/>
    <x v="0"/>
    <x v="15"/>
    <n v="4"/>
    <n v="159.53"/>
    <n v="638.12"/>
    <n v="471.6"/>
    <n v="166.51999999999998"/>
    <s v="Apr"/>
    <s v="2025"/>
    <x v="3"/>
    <n v="0.26095405252930481"/>
    <n v="159.53"/>
    <x v="1"/>
  </r>
  <r>
    <s v="D7922B47"/>
    <d v="2025-04-18T00:00:00"/>
    <x v="55"/>
    <n v="4384"/>
    <x v="2"/>
    <x v="1"/>
    <x v="6"/>
    <n v="8"/>
    <n v="274.31"/>
    <n v="2194.48"/>
    <n v="1864.11"/>
    <n v="330.37000000000012"/>
    <s v="Apr"/>
    <s v="2025"/>
    <x v="3"/>
    <n v="0.15054591520542457"/>
    <n v="274.31"/>
    <x v="1"/>
  </r>
  <r>
    <s v="652BDDD5"/>
    <d v="2025-04-17T00:00:00"/>
    <x v="56"/>
    <n v="3658"/>
    <x v="1"/>
    <x v="0"/>
    <x v="15"/>
    <n v="9"/>
    <n v="244.04"/>
    <n v="2196.36"/>
    <n v="1597"/>
    <n v="599.36000000000013"/>
    <s v="Apr"/>
    <s v="2025"/>
    <x v="3"/>
    <n v="0.27288786901965073"/>
    <n v="244.04000000000002"/>
    <x v="0"/>
  </r>
  <r>
    <s v="39DE7ADB"/>
    <d v="2025-04-14T00:00:00"/>
    <x v="57"/>
    <n v="5069"/>
    <x v="0"/>
    <x v="4"/>
    <x v="9"/>
    <n v="5"/>
    <n v="378.74"/>
    <n v="1893.7"/>
    <n v="1302.9100000000001"/>
    <n v="590.79"/>
    <s v="Apr"/>
    <s v="2025"/>
    <x v="3"/>
    <n v="0.31197655383640488"/>
    <n v="378.74"/>
    <x v="0"/>
  </r>
  <r>
    <s v="4C54C84D"/>
    <d v="2025-04-12T00:00:00"/>
    <x v="58"/>
    <n v="5713"/>
    <x v="3"/>
    <x v="4"/>
    <x v="8"/>
    <n v="2"/>
    <n v="31.42"/>
    <n v="62.84"/>
    <n v="39.53"/>
    <n v="23.310000000000002"/>
    <s v="Apr"/>
    <s v="2025"/>
    <x v="3"/>
    <n v="0.37094207511139404"/>
    <n v="31.42"/>
    <x v="1"/>
  </r>
  <r>
    <s v="FB1DEB67"/>
    <d v="2025-04-10T00:00:00"/>
    <x v="59"/>
    <n v="3101"/>
    <x v="0"/>
    <x v="1"/>
    <x v="6"/>
    <n v="2"/>
    <n v="112.84"/>
    <n v="225.68"/>
    <n v="168.35"/>
    <n v="57.330000000000013"/>
    <s v="Apr"/>
    <s v="2025"/>
    <x v="3"/>
    <n v="0.25403225806451618"/>
    <n v="112.84"/>
    <x v="1"/>
  </r>
  <r>
    <s v="70C27417"/>
    <d v="2025-04-08T00:00:00"/>
    <x v="60"/>
    <n v="3869"/>
    <x v="2"/>
    <x v="1"/>
    <x v="6"/>
    <n v="8"/>
    <n v="39.04"/>
    <n v="312.32"/>
    <n v="280.72000000000003"/>
    <n v="31.599999999999966"/>
    <s v="Apr"/>
    <s v="2025"/>
    <x v="3"/>
    <n v="0.10117827868852448"/>
    <n v="39.04"/>
    <x v="1"/>
  </r>
  <r>
    <s v="B4440859"/>
    <d v="2025-04-08T00:00:00"/>
    <x v="61"/>
    <n v="8799"/>
    <x v="1"/>
    <x v="2"/>
    <x v="11"/>
    <n v="6"/>
    <n v="336.83"/>
    <n v="2020.98"/>
    <n v="1724.22"/>
    <n v="296.76"/>
    <s v="Apr"/>
    <s v="2025"/>
    <x v="3"/>
    <n v="0.14683965204999555"/>
    <n v="336.83"/>
    <x v="1"/>
  </r>
  <r>
    <s v="7CE0F31D"/>
    <d v="2025-04-07T00:00:00"/>
    <x v="62"/>
    <n v="2595"/>
    <x v="1"/>
    <x v="1"/>
    <x v="5"/>
    <n v="9"/>
    <n v="267.12"/>
    <n v="2404.08"/>
    <n v="2005.81"/>
    <n v="398.27"/>
    <s v="Apr"/>
    <s v="2025"/>
    <x v="3"/>
    <n v="0.16566420418621677"/>
    <n v="267.12"/>
    <x v="1"/>
  </r>
  <r>
    <s v="81C3C915"/>
    <d v="2025-04-06T00:00:00"/>
    <x v="63"/>
    <n v="4292"/>
    <x v="0"/>
    <x v="2"/>
    <x v="2"/>
    <n v="10"/>
    <n v="389.25"/>
    <n v="3892.5"/>
    <n v="3094.53"/>
    <n v="797.9699999999998"/>
    <s v="Apr"/>
    <s v="2025"/>
    <x v="3"/>
    <n v="0.20500192678227355"/>
    <n v="389.25"/>
    <x v="0"/>
  </r>
  <r>
    <s v="9B647E68"/>
    <d v="2025-04-05T00:00:00"/>
    <x v="64"/>
    <n v="9475"/>
    <x v="3"/>
    <x v="2"/>
    <x v="11"/>
    <n v="8"/>
    <n v="399.05"/>
    <n v="3192.4"/>
    <n v="2500.84"/>
    <n v="691.56"/>
    <s v="Apr"/>
    <s v="2025"/>
    <x v="3"/>
    <n v="0.21662698909911035"/>
    <n v="399.05"/>
    <x v="0"/>
  </r>
  <r>
    <s v="E14A9CBE"/>
    <d v="2025-04-03T00:00:00"/>
    <x v="65"/>
    <n v="7290"/>
    <x v="1"/>
    <x v="0"/>
    <x v="0"/>
    <n v="2"/>
    <n v="125.46"/>
    <n v="250.92"/>
    <n v="212.69"/>
    <n v="38.22999999999999"/>
    <s v="Apr"/>
    <s v="2025"/>
    <x v="3"/>
    <n v="0.15235931771082414"/>
    <n v="125.46"/>
    <x v="1"/>
  </r>
  <r>
    <s v="FF724F98"/>
    <d v="2025-04-03T00:00:00"/>
    <x v="66"/>
    <n v="8226"/>
    <x v="2"/>
    <x v="3"/>
    <x v="3"/>
    <n v="6"/>
    <n v="360.48"/>
    <n v="2162.88"/>
    <n v="1671.18"/>
    <n v="491.70000000000005"/>
    <s v="Apr"/>
    <s v="2025"/>
    <x v="3"/>
    <n v="0.22733577452285841"/>
    <n v="360.48"/>
    <x v="1"/>
  </r>
  <r>
    <s v="F4FBF1CA"/>
    <d v="2025-04-01T00:00:00"/>
    <x v="67"/>
    <n v="2828"/>
    <x v="3"/>
    <x v="2"/>
    <x v="14"/>
    <n v="9"/>
    <n v="57.54"/>
    <n v="517.86"/>
    <n v="403.02"/>
    <n v="114.84000000000003"/>
    <s v="Apr"/>
    <s v="2025"/>
    <x v="3"/>
    <n v="0.22175877650330211"/>
    <n v="57.54"/>
    <x v="1"/>
  </r>
  <r>
    <s v="2C22067D"/>
    <d v="2025-03-30T00:00:00"/>
    <x v="68"/>
    <n v="3589"/>
    <x v="3"/>
    <x v="1"/>
    <x v="6"/>
    <n v="5"/>
    <n v="436.5"/>
    <n v="2182.5"/>
    <n v="1828.77"/>
    <n v="353.73"/>
    <s v="Mar"/>
    <s v="2025"/>
    <x v="4"/>
    <n v="0.16207560137457044"/>
    <n v="436.5"/>
    <x v="1"/>
  </r>
  <r>
    <s v="02DB2492"/>
    <d v="2025-03-30T00:00:00"/>
    <x v="69"/>
    <n v="8809"/>
    <x v="3"/>
    <x v="2"/>
    <x v="13"/>
    <n v="9"/>
    <n v="489.56"/>
    <n v="4406.04"/>
    <n v="2802.6"/>
    <n v="1603.44"/>
    <s v="Mar"/>
    <s v="2025"/>
    <x v="4"/>
    <n v="0.36391862080235315"/>
    <n v="489.56"/>
    <x v="0"/>
  </r>
  <r>
    <s v="C3952405"/>
    <d v="2025-03-25T00:00:00"/>
    <x v="70"/>
    <n v="1371"/>
    <x v="3"/>
    <x v="0"/>
    <x v="10"/>
    <n v="5"/>
    <n v="322.2"/>
    <n v="1611"/>
    <n v="1402.92"/>
    <n v="208.07999999999993"/>
    <s v="Mar"/>
    <s v="2025"/>
    <x v="4"/>
    <n v="0.12916201117318432"/>
    <n v="322.2"/>
    <x v="1"/>
  </r>
  <r>
    <s v="C0607CC8"/>
    <d v="2025-03-22T00:00:00"/>
    <x v="71"/>
    <n v="6848"/>
    <x v="2"/>
    <x v="4"/>
    <x v="16"/>
    <n v="7"/>
    <n v="91.94"/>
    <n v="643.57999999999993"/>
    <n v="542.19000000000005"/>
    <n v="101.38999999999987"/>
    <s v="Mar"/>
    <s v="2025"/>
    <x v="4"/>
    <n v="0.15754063208925057"/>
    <n v="91.939999999999984"/>
    <x v="1"/>
  </r>
  <r>
    <s v="13608517"/>
    <d v="2025-03-18T00:00:00"/>
    <x v="72"/>
    <n v="3988"/>
    <x v="3"/>
    <x v="4"/>
    <x v="16"/>
    <n v="3"/>
    <n v="292.67"/>
    <n v="878.01"/>
    <n v="708.05"/>
    <n v="169.96000000000004"/>
    <s v="Mar"/>
    <s v="2025"/>
    <x v="4"/>
    <n v="0.1935741050785299"/>
    <n v="292.67"/>
    <x v="1"/>
  </r>
  <r>
    <s v="37EECE3C"/>
    <d v="2025-03-17T00:00:00"/>
    <x v="73"/>
    <n v="4250"/>
    <x v="2"/>
    <x v="3"/>
    <x v="4"/>
    <n v="4"/>
    <n v="96.38"/>
    <n v="385.52"/>
    <n v="272.88"/>
    <n v="112.63999999999999"/>
    <s v="Mar"/>
    <s v="2025"/>
    <x v="4"/>
    <n v="0.2921768001660095"/>
    <n v="96.38"/>
    <x v="1"/>
  </r>
  <r>
    <s v="897238AF"/>
    <d v="2025-03-17T00:00:00"/>
    <x v="74"/>
    <n v="5942"/>
    <x v="2"/>
    <x v="0"/>
    <x v="19"/>
    <n v="1"/>
    <n v="418.57"/>
    <n v="418.57"/>
    <n v="284.98"/>
    <n v="133.58999999999997"/>
    <s v="Mar"/>
    <s v="2025"/>
    <x v="4"/>
    <n v="0.3191580858637742"/>
    <n v="418.57"/>
    <x v="1"/>
  </r>
  <r>
    <s v="0BC0FD01"/>
    <d v="2025-03-14T00:00:00"/>
    <x v="75"/>
    <n v="1906"/>
    <x v="2"/>
    <x v="1"/>
    <x v="5"/>
    <n v="2"/>
    <n v="442.83"/>
    <n v="885.66"/>
    <n v="766.13"/>
    <n v="119.52999999999997"/>
    <s v="Mar"/>
    <s v="2025"/>
    <x v="4"/>
    <n v="0.13496149764017792"/>
    <n v="442.83"/>
    <x v="1"/>
  </r>
  <r>
    <s v="3925E6C3"/>
    <d v="2025-03-13T00:00:00"/>
    <x v="76"/>
    <n v="3845"/>
    <x v="0"/>
    <x v="2"/>
    <x v="2"/>
    <n v="3"/>
    <n v="304.07"/>
    <n v="912.21"/>
    <n v="634.99"/>
    <n v="277.22000000000003"/>
    <s v="Mar"/>
    <s v="2025"/>
    <x v="4"/>
    <n v="0.30389932142817994"/>
    <n v="304.07"/>
    <x v="1"/>
  </r>
  <r>
    <s v="931A5276"/>
    <d v="2025-03-07T00:00:00"/>
    <x v="77"/>
    <n v="8787"/>
    <x v="1"/>
    <x v="2"/>
    <x v="14"/>
    <n v="10"/>
    <n v="129.34"/>
    <n v="1293.4000000000001"/>
    <n v="1134.5"/>
    <n v="158.90000000000009"/>
    <s v="Mar"/>
    <s v="2025"/>
    <x v="4"/>
    <n v="0.12285449203649303"/>
    <n v="129.34"/>
    <x v="1"/>
  </r>
  <r>
    <s v="0DB7A8EF"/>
    <d v="2025-03-06T00:00:00"/>
    <x v="78"/>
    <n v="8753"/>
    <x v="2"/>
    <x v="0"/>
    <x v="10"/>
    <n v="1"/>
    <n v="17.600000000000001"/>
    <n v="17.600000000000001"/>
    <n v="14.57"/>
    <n v="3.0300000000000011"/>
    <s v="Mar"/>
    <s v="2025"/>
    <x v="4"/>
    <n v="0.17215909090909096"/>
    <n v="17.600000000000001"/>
    <x v="1"/>
  </r>
  <r>
    <s v="DC1F5B77"/>
    <d v="2025-03-05T00:00:00"/>
    <x v="79"/>
    <n v="5252"/>
    <x v="2"/>
    <x v="1"/>
    <x v="7"/>
    <n v="4"/>
    <n v="120.34"/>
    <n v="481.36"/>
    <n v="349.15"/>
    <n v="132.21000000000004"/>
    <s v="Mar"/>
    <s v="2025"/>
    <x v="4"/>
    <n v="0.27465929865381428"/>
    <n v="120.34"/>
    <x v="1"/>
  </r>
  <r>
    <s v="DBD441E3"/>
    <d v="2025-03-02T00:00:00"/>
    <x v="80"/>
    <n v="7428"/>
    <x v="2"/>
    <x v="4"/>
    <x v="8"/>
    <n v="10"/>
    <n v="257.83999999999997"/>
    <n v="2578.3999999999996"/>
    <n v="1557.91"/>
    <n v="1020.4899999999996"/>
    <s v="Mar"/>
    <s v="2025"/>
    <x v="4"/>
    <n v="0.39578420726031638"/>
    <n v="257.83999999999997"/>
    <x v="0"/>
  </r>
  <r>
    <s v="4CDF54A9"/>
    <d v="2025-03-02T00:00:00"/>
    <x v="81"/>
    <n v="2879"/>
    <x v="0"/>
    <x v="2"/>
    <x v="2"/>
    <n v="2"/>
    <n v="36.89"/>
    <n v="73.78"/>
    <n v="57.13"/>
    <n v="16.649999999999999"/>
    <s v="Mar"/>
    <s v="2025"/>
    <x v="4"/>
    <n v="0.22567091352670099"/>
    <n v="36.89"/>
    <x v="1"/>
  </r>
  <r>
    <s v="6E0681C1"/>
    <d v="2025-02-28T00:00:00"/>
    <x v="82"/>
    <n v="2443"/>
    <x v="3"/>
    <x v="0"/>
    <x v="15"/>
    <n v="2"/>
    <n v="74.569999999999993"/>
    <n v="149.13999999999999"/>
    <n v="104.32"/>
    <n v="44.819999999999993"/>
    <s v="Feb"/>
    <s v="2025"/>
    <x v="5"/>
    <n v="0.30052299852487596"/>
    <n v="74.569999999999993"/>
    <x v="1"/>
  </r>
  <r>
    <s v="652B078B"/>
    <d v="2025-02-24T00:00:00"/>
    <x v="83"/>
    <n v="4121"/>
    <x v="1"/>
    <x v="0"/>
    <x v="19"/>
    <n v="5"/>
    <n v="479.54"/>
    <n v="2397.7000000000003"/>
    <n v="1912.65"/>
    <n v="485.05000000000018"/>
    <s v="Feb"/>
    <s v="2025"/>
    <x v="5"/>
    <n v="0.20229803561746679"/>
    <n v="479.54000000000008"/>
    <x v="1"/>
  </r>
  <r>
    <s v="16D77B91"/>
    <d v="2025-02-15T00:00:00"/>
    <x v="84"/>
    <n v="4692"/>
    <x v="3"/>
    <x v="4"/>
    <x v="9"/>
    <n v="6"/>
    <n v="61.11"/>
    <n v="366.65999999999997"/>
    <n v="279.67"/>
    <n v="86.989999999999952"/>
    <s v="Feb"/>
    <s v="2025"/>
    <x v="5"/>
    <n v="0.23724976817760313"/>
    <n v="61.109999999999992"/>
    <x v="1"/>
  </r>
  <r>
    <s v="ABF4B9E6"/>
    <d v="2025-02-09T00:00:00"/>
    <x v="85"/>
    <n v="4677"/>
    <x v="0"/>
    <x v="1"/>
    <x v="7"/>
    <n v="7"/>
    <n v="134.99"/>
    <n v="944.93000000000006"/>
    <n v="652"/>
    <n v="292.93000000000006"/>
    <s v="Feb"/>
    <s v="2025"/>
    <x v="5"/>
    <n v="0.31000179907506381"/>
    <n v="134.99"/>
    <x v="1"/>
  </r>
  <r>
    <s v="A05A6F7E"/>
    <d v="2025-02-08T00:00:00"/>
    <x v="86"/>
    <n v="8300"/>
    <x v="2"/>
    <x v="0"/>
    <x v="19"/>
    <n v="9"/>
    <n v="254.43"/>
    <n v="2289.87"/>
    <n v="1977.9"/>
    <n v="311.9699999999998"/>
    <s v="Feb"/>
    <s v="2025"/>
    <x v="5"/>
    <n v="0.1362391751496809"/>
    <n v="254.42999999999998"/>
    <x v="1"/>
  </r>
  <r>
    <s v="350F1520"/>
    <d v="2025-02-08T00:00:00"/>
    <x v="87"/>
    <n v="2429"/>
    <x v="1"/>
    <x v="4"/>
    <x v="18"/>
    <n v="7"/>
    <n v="192.99"/>
    <n v="1350.93"/>
    <n v="1073.2"/>
    <n v="277.73"/>
    <s v="Feb"/>
    <s v="2025"/>
    <x v="5"/>
    <n v="0.20558430118510951"/>
    <n v="192.99"/>
    <x v="1"/>
  </r>
  <r>
    <s v="2EA91809"/>
    <d v="2025-02-03T00:00:00"/>
    <x v="88"/>
    <n v="7795"/>
    <x v="2"/>
    <x v="4"/>
    <x v="18"/>
    <n v="7"/>
    <n v="493.15"/>
    <n v="3452.0499999999997"/>
    <n v="2494.5700000000002"/>
    <n v="957.47999999999956"/>
    <s v="Feb"/>
    <s v="2025"/>
    <x v="5"/>
    <n v="0.27736562332527037"/>
    <n v="493.15"/>
    <x v="0"/>
  </r>
  <r>
    <s v="DD19FC69"/>
    <d v="2025-02-02T00:00:00"/>
    <x v="89"/>
    <n v="9542"/>
    <x v="0"/>
    <x v="0"/>
    <x v="15"/>
    <n v="1"/>
    <n v="265.77999999999997"/>
    <n v="265.77999999999997"/>
    <n v="169.73"/>
    <n v="96.049999999999983"/>
    <s v="Feb"/>
    <s v="2025"/>
    <x v="5"/>
    <n v="0.36138911882007674"/>
    <n v="265.77999999999997"/>
    <x v="1"/>
  </r>
  <r>
    <s v="F05F7ECD"/>
    <d v="2025-02-02T00:00:00"/>
    <x v="90"/>
    <n v="4492"/>
    <x v="0"/>
    <x v="2"/>
    <x v="13"/>
    <n v="6"/>
    <n v="202.6"/>
    <n v="1215.5999999999999"/>
    <n v="803.54"/>
    <n v="412.05999999999995"/>
    <s v="Feb"/>
    <s v="2025"/>
    <x v="5"/>
    <n v="0.3389766370516617"/>
    <n v="202.6"/>
    <x v="1"/>
  </r>
  <r>
    <s v="0FC91F86"/>
    <d v="2025-02-01T00:00:00"/>
    <x v="91"/>
    <n v="6990"/>
    <x v="3"/>
    <x v="1"/>
    <x v="6"/>
    <n v="8"/>
    <n v="197.67"/>
    <n v="1581.36"/>
    <n v="1403.02"/>
    <n v="178.33999999999992"/>
    <s v="Feb"/>
    <s v="2025"/>
    <x v="5"/>
    <n v="0.11277634441240447"/>
    <n v="197.67"/>
    <x v="1"/>
  </r>
  <r>
    <s v="59BC4BC1"/>
    <d v="2025-01-30T00:00:00"/>
    <x v="92"/>
    <n v="3752"/>
    <x v="2"/>
    <x v="1"/>
    <x v="1"/>
    <n v="5"/>
    <n v="282.33999999999997"/>
    <n v="1411.6999999999998"/>
    <n v="1039.97"/>
    <n v="371.72999999999979"/>
    <s v="Jan"/>
    <s v="2025"/>
    <x v="6"/>
    <n v="0.26332081887086478"/>
    <n v="282.33999999999997"/>
    <x v="1"/>
  </r>
  <r>
    <s v="B31D3F84"/>
    <d v="2025-01-30T00:00:00"/>
    <x v="93"/>
    <n v="2308"/>
    <x v="3"/>
    <x v="3"/>
    <x v="17"/>
    <n v="10"/>
    <n v="363.23"/>
    <n v="3632.3"/>
    <n v="2221.13"/>
    <n v="1411.17"/>
    <s v="Jan"/>
    <s v="2025"/>
    <x v="6"/>
    <n v="0.38850590534922774"/>
    <n v="363.23"/>
    <x v="0"/>
  </r>
  <r>
    <s v="90C0A1ED"/>
    <d v="2025-01-29T00:00:00"/>
    <x v="94"/>
    <n v="7039"/>
    <x v="1"/>
    <x v="1"/>
    <x v="5"/>
    <n v="10"/>
    <n v="138.9"/>
    <n v="1389"/>
    <n v="865.78"/>
    <n v="523.22"/>
    <s v="Jan"/>
    <s v="2025"/>
    <x v="6"/>
    <n v="0.37668826493880492"/>
    <n v="138.9"/>
    <x v="0"/>
  </r>
  <r>
    <s v="E9BCC899"/>
    <d v="2025-01-25T00:00:00"/>
    <x v="95"/>
    <n v="8930"/>
    <x v="0"/>
    <x v="1"/>
    <x v="1"/>
    <n v="1"/>
    <n v="395.81"/>
    <n v="395.81"/>
    <n v="336.68"/>
    <n v="59.129999999999995"/>
    <s v="Jan"/>
    <s v="2025"/>
    <x v="6"/>
    <n v="0.14938985877062225"/>
    <n v="395.81"/>
    <x v="1"/>
  </r>
  <r>
    <s v="30EF6B7E"/>
    <d v="2025-01-24T00:00:00"/>
    <x v="96"/>
    <n v="7549"/>
    <x v="3"/>
    <x v="2"/>
    <x v="2"/>
    <n v="1"/>
    <n v="397.41"/>
    <n v="397.41"/>
    <n v="240.26"/>
    <n v="157.15000000000003"/>
    <s v="Jan"/>
    <s v="2025"/>
    <x v="6"/>
    <n v="0.39543544450315798"/>
    <n v="397.41"/>
    <x v="1"/>
  </r>
  <r>
    <s v="1FB905A0"/>
    <d v="2025-01-20T00:00:00"/>
    <x v="97"/>
    <n v="6357"/>
    <x v="1"/>
    <x v="2"/>
    <x v="13"/>
    <n v="10"/>
    <n v="322.73"/>
    <n v="3227.3"/>
    <n v="2198.4699999999998"/>
    <n v="1028.8300000000004"/>
    <s v="Jan"/>
    <s v="2025"/>
    <x v="6"/>
    <n v="0.31878970036872939"/>
    <n v="322.73"/>
    <x v="0"/>
  </r>
  <r>
    <s v="624AAC6F"/>
    <d v="2025-01-18T00:00:00"/>
    <x v="98"/>
    <n v="3030"/>
    <x v="2"/>
    <x v="4"/>
    <x v="9"/>
    <n v="7"/>
    <n v="216.19"/>
    <n v="1513.33"/>
    <n v="1143.58"/>
    <n v="369.75"/>
    <s v="Jan"/>
    <s v="2025"/>
    <x v="6"/>
    <n v="0.24432873200161234"/>
    <n v="216.19"/>
    <x v="1"/>
  </r>
  <r>
    <s v="1A9F3CFC"/>
    <d v="2025-01-17T00:00:00"/>
    <x v="99"/>
    <n v="3611"/>
    <x v="0"/>
    <x v="0"/>
    <x v="15"/>
    <n v="9"/>
    <n v="95.64"/>
    <n v="860.76"/>
    <n v="673.85"/>
    <n v="186.90999999999997"/>
    <s v="Jan"/>
    <s v="2025"/>
    <x v="6"/>
    <n v="0.21714531344393323"/>
    <n v="95.64"/>
    <x v="1"/>
  </r>
  <r>
    <s v="1F9620AA"/>
    <d v="2025-01-13T00:00:00"/>
    <x v="100"/>
    <n v="7494"/>
    <x v="1"/>
    <x v="2"/>
    <x v="2"/>
    <n v="4"/>
    <n v="237.26"/>
    <n v="949.04"/>
    <n v="635.16"/>
    <n v="313.88"/>
    <s v="Jan"/>
    <s v="2025"/>
    <x v="6"/>
    <n v="0.33073421562842453"/>
    <n v="237.26"/>
    <x v="1"/>
  </r>
  <r>
    <s v="B90B8ACA"/>
    <d v="2025-01-12T00:00:00"/>
    <x v="101"/>
    <n v="7785"/>
    <x v="3"/>
    <x v="1"/>
    <x v="6"/>
    <n v="1"/>
    <n v="36.619999999999997"/>
    <n v="36.619999999999997"/>
    <n v="26.06"/>
    <n v="10.559999999999999"/>
    <s v="Jan"/>
    <s v="2025"/>
    <x v="6"/>
    <n v="0.28836701256144182"/>
    <n v="36.619999999999997"/>
    <x v="1"/>
  </r>
  <r>
    <s v="5E177756"/>
    <d v="2025-01-09T00:00:00"/>
    <x v="102"/>
    <n v="8321"/>
    <x v="2"/>
    <x v="2"/>
    <x v="14"/>
    <n v="6"/>
    <n v="63.91"/>
    <n v="383.46"/>
    <n v="234.83"/>
    <n v="148.62999999999997"/>
    <s v="Jan"/>
    <s v="2025"/>
    <x v="6"/>
    <n v="0.38760235748187549"/>
    <n v="63.91"/>
    <x v="1"/>
  </r>
  <r>
    <s v="D24308A8"/>
    <d v="2025-01-08T00:00:00"/>
    <x v="103"/>
    <n v="4211"/>
    <x v="3"/>
    <x v="3"/>
    <x v="12"/>
    <n v="8"/>
    <n v="130.57"/>
    <n v="1044.56"/>
    <n v="859.06"/>
    <n v="185.5"/>
    <s v="Jan"/>
    <s v="2025"/>
    <x v="6"/>
    <n v="0.17758673508462894"/>
    <n v="130.57"/>
    <x v="1"/>
  </r>
  <r>
    <s v="9BFFB91B"/>
    <d v="2025-01-08T00:00:00"/>
    <x v="104"/>
    <n v="7924"/>
    <x v="1"/>
    <x v="0"/>
    <x v="0"/>
    <n v="6"/>
    <n v="44.31"/>
    <n v="265.86"/>
    <n v="196.64"/>
    <n v="69.220000000000027"/>
    <s v="Jan"/>
    <s v="2025"/>
    <x v="6"/>
    <n v="0.26036259685548796"/>
    <n v="44.31"/>
    <x v="1"/>
  </r>
  <r>
    <s v="40FE8A6C"/>
    <d v="2025-01-06T00:00:00"/>
    <x v="105"/>
    <n v="7846"/>
    <x v="3"/>
    <x v="1"/>
    <x v="5"/>
    <n v="1"/>
    <n v="475.92"/>
    <n v="475.92"/>
    <n v="391.29"/>
    <n v="84.63"/>
    <s v="Jan"/>
    <s v="2025"/>
    <x v="6"/>
    <n v="0.17782400403429147"/>
    <n v="475.92"/>
    <x v="1"/>
  </r>
  <r>
    <s v="B7E28824"/>
    <d v="2025-01-06T00:00:00"/>
    <x v="106"/>
    <n v="8808"/>
    <x v="2"/>
    <x v="2"/>
    <x v="2"/>
    <n v="2"/>
    <n v="336.95"/>
    <n v="673.9"/>
    <n v="563.96"/>
    <n v="109.93999999999994"/>
    <s v="Jan"/>
    <s v="2025"/>
    <x v="6"/>
    <n v="0.16313993174061425"/>
    <n v="336.95"/>
    <x v="1"/>
  </r>
  <r>
    <s v="917B9AD6"/>
    <d v="2025-01-06T00:00:00"/>
    <x v="107"/>
    <n v="2559"/>
    <x v="2"/>
    <x v="4"/>
    <x v="16"/>
    <n v="7"/>
    <n v="86.74"/>
    <n v="607.17999999999995"/>
    <n v="371.03"/>
    <n v="236.14999999999998"/>
    <s v="Jan"/>
    <s v="2025"/>
    <x v="6"/>
    <n v="0.38892914786389537"/>
    <n v="86.74"/>
    <x v="1"/>
  </r>
  <r>
    <s v="63AD3343"/>
    <d v="2025-01-03T00:00:00"/>
    <x v="108"/>
    <n v="2696"/>
    <x v="3"/>
    <x v="0"/>
    <x v="0"/>
    <n v="6"/>
    <n v="68.319999999999993"/>
    <n v="409.91999999999996"/>
    <n v="254.93"/>
    <n v="154.98999999999995"/>
    <s v="Jan"/>
    <s v="2025"/>
    <x v="6"/>
    <n v="0.37809816549570641"/>
    <n v="68.319999999999993"/>
    <x v="1"/>
  </r>
  <r>
    <s v="4E75AD5C"/>
    <d v="2025-01-03T00:00:00"/>
    <x v="109"/>
    <n v="9910"/>
    <x v="0"/>
    <x v="1"/>
    <x v="7"/>
    <n v="9"/>
    <n v="201.12"/>
    <n v="1810.08"/>
    <n v="1213.93"/>
    <n v="596.14999999999986"/>
    <s v="Jan"/>
    <s v="2025"/>
    <x v="6"/>
    <n v="0.32935008397418891"/>
    <n v="201.12"/>
    <x v="0"/>
  </r>
  <r>
    <s v="02F5ECEC"/>
    <d v="2024-12-31T00:00:00"/>
    <x v="110"/>
    <n v="8688"/>
    <x v="1"/>
    <x v="4"/>
    <x v="9"/>
    <n v="5"/>
    <n v="275.2"/>
    <n v="1376"/>
    <n v="1067.82"/>
    <n v="308.18000000000006"/>
    <s v="Dec"/>
    <s v="2024"/>
    <x v="7"/>
    <n v="0.223968023255814"/>
    <n v="275.2"/>
    <x v="1"/>
  </r>
  <r>
    <s v="0E408CDB"/>
    <d v="2024-12-27T00:00:00"/>
    <x v="111"/>
    <n v="6123"/>
    <x v="1"/>
    <x v="2"/>
    <x v="11"/>
    <n v="3"/>
    <n v="25.04"/>
    <n v="75.12"/>
    <n v="63.91"/>
    <n v="11.210000000000008"/>
    <s v="Dec"/>
    <s v="2024"/>
    <x v="7"/>
    <n v="0.14922790202342928"/>
    <n v="25.040000000000003"/>
    <x v="1"/>
  </r>
  <r>
    <s v="4A0663C7"/>
    <d v="2024-12-24T00:00:00"/>
    <x v="112"/>
    <n v="7782"/>
    <x v="2"/>
    <x v="1"/>
    <x v="1"/>
    <n v="1"/>
    <n v="252.92"/>
    <n v="252.92"/>
    <n v="195.73"/>
    <n v="57.19"/>
    <s v="Dec"/>
    <s v="2024"/>
    <x v="7"/>
    <n v="0.22611893088723709"/>
    <n v="252.92"/>
    <x v="1"/>
  </r>
  <r>
    <s v="6523D2A4"/>
    <d v="2024-12-20T00:00:00"/>
    <x v="113"/>
    <n v="9150"/>
    <x v="0"/>
    <x v="4"/>
    <x v="8"/>
    <n v="8"/>
    <n v="272.83"/>
    <n v="2182.64"/>
    <n v="1773.84"/>
    <n v="408.79999999999995"/>
    <s v="Dec"/>
    <s v="2024"/>
    <x v="7"/>
    <n v="0.18729611846204594"/>
    <n v="272.83"/>
    <x v="1"/>
  </r>
  <r>
    <s v="8D11DF37"/>
    <d v="2024-12-19T00:00:00"/>
    <x v="114"/>
    <n v="4460"/>
    <x v="2"/>
    <x v="2"/>
    <x v="14"/>
    <n v="1"/>
    <n v="413.17"/>
    <n v="413.17"/>
    <n v="278.89999999999998"/>
    <n v="134.27000000000004"/>
    <s v="Dec"/>
    <s v="2024"/>
    <x v="7"/>
    <n v="0.32497519180966683"/>
    <n v="413.17"/>
    <x v="1"/>
  </r>
  <r>
    <s v="DA76C5BC"/>
    <d v="2024-12-18T00:00:00"/>
    <x v="115"/>
    <n v="1886"/>
    <x v="0"/>
    <x v="4"/>
    <x v="18"/>
    <n v="10"/>
    <n v="313.44"/>
    <n v="3134.4"/>
    <n v="2142.77"/>
    <n v="991.63000000000011"/>
    <s v="Dec"/>
    <s v="2024"/>
    <x v="7"/>
    <n v="0.31636995916283822"/>
    <n v="313.44"/>
    <x v="0"/>
  </r>
  <r>
    <s v="D1A14FE4"/>
    <d v="2024-12-17T00:00:00"/>
    <x v="116"/>
    <n v="2162"/>
    <x v="3"/>
    <x v="2"/>
    <x v="11"/>
    <n v="6"/>
    <n v="399.63"/>
    <n v="2397.7799999999997"/>
    <n v="1504.3"/>
    <n v="893.47999999999979"/>
    <s v="Dec"/>
    <s v="2024"/>
    <x v="7"/>
    <n v="0.37262801424651132"/>
    <n v="399.62999999999994"/>
    <x v="0"/>
  </r>
  <r>
    <s v="31DEEFF3"/>
    <d v="2024-12-12T00:00:00"/>
    <x v="117"/>
    <n v="6978"/>
    <x v="3"/>
    <x v="0"/>
    <x v="15"/>
    <n v="4"/>
    <n v="115.47"/>
    <n v="461.88"/>
    <n v="399.37"/>
    <n v="62.509999999999991"/>
    <s v="Dec"/>
    <s v="2024"/>
    <x v="7"/>
    <n v="0.13533818307785569"/>
    <n v="115.47"/>
    <x v="1"/>
  </r>
  <r>
    <s v="8EED66E8"/>
    <d v="2024-12-08T00:00:00"/>
    <x v="118"/>
    <n v="1446"/>
    <x v="3"/>
    <x v="0"/>
    <x v="15"/>
    <n v="5"/>
    <n v="425.72"/>
    <n v="2128.6000000000004"/>
    <n v="1592.86"/>
    <n v="535.74000000000046"/>
    <s v="Dec"/>
    <s v="2024"/>
    <x v="7"/>
    <n v="0.25168655454289224"/>
    <n v="425.72000000000008"/>
    <x v="0"/>
  </r>
  <r>
    <s v="2EF10BD5"/>
    <d v="2024-12-06T00:00:00"/>
    <x v="119"/>
    <n v="5499"/>
    <x v="0"/>
    <x v="2"/>
    <x v="14"/>
    <n v="10"/>
    <n v="198.38"/>
    <n v="1983.8"/>
    <n v="1462.62"/>
    <n v="521.18000000000006"/>
    <s v="Dec"/>
    <s v="2024"/>
    <x v="7"/>
    <n v="0.26271801592902516"/>
    <n v="198.38"/>
    <x v="0"/>
  </r>
  <r>
    <s v="874B6632"/>
    <d v="2024-12-06T00:00:00"/>
    <x v="120"/>
    <n v="6707"/>
    <x v="3"/>
    <x v="4"/>
    <x v="16"/>
    <n v="8"/>
    <n v="430.16"/>
    <n v="3441.28"/>
    <n v="2997.34"/>
    <n v="443.94000000000005"/>
    <s v="Dec"/>
    <s v="2024"/>
    <x v="7"/>
    <n v="0.12900432397247535"/>
    <n v="430.16"/>
    <x v="1"/>
  </r>
  <r>
    <s v="EC0C5765"/>
    <d v="2024-12-04T00:00:00"/>
    <x v="121"/>
    <n v="8346"/>
    <x v="2"/>
    <x v="2"/>
    <x v="13"/>
    <n v="3"/>
    <n v="93.03"/>
    <n v="279.09000000000003"/>
    <n v="199.04"/>
    <n v="80.05000000000004"/>
    <s v="Dec"/>
    <s v="2024"/>
    <x v="7"/>
    <n v="0.28682503851804086"/>
    <n v="93.030000000000015"/>
    <x v="1"/>
  </r>
  <r>
    <s v="88F3EDE4"/>
    <d v="2024-12-02T00:00:00"/>
    <x v="122"/>
    <n v="7502"/>
    <x v="2"/>
    <x v="4"/>
    <x v="16"/>
    <n v="3"/>
    <n v="64.97"/>
    <n v="194.91"/>
    <n v="150.51"/>
    <n v="44.400000000000006"/>
    <s v="Dec"/>
    <s v="2024"/>
    <x v="7"/>
    <n v="0.22779744497460369"/>
    <n v="64.97"/>
    <x v="1"/>
  </r>
  <r>
    <s v="94A7ACD1"/>
    <d v="2024-11-27T00:00:00"/>
    <x v="123"/>
    <n v="1055"/>
    <x v="1"/>
    <x v="4"/>
    <x v="9"/>
    <n v="2"/>
    <n v="239.29"/>
    <n v="478.58"/>
    <n v="318.10000000000002"/>
    <n v="160.47999999999996"/>
    <s v="Nov"/>
    <s v="2024"/>
    <x v="8"/>
    <n v="0.3353253374566425"/>
    <n v="239.29"/>
    <x v="1"/>
  </r>
  <r>
    <s v="EEFFA5A9"/>
    <d v="2024-11-26T00:00:00"/>
    <x v="124"/>
    <n v="6012"/>
    <x v="2"/>
    <x v="0"/>
    <x v="15"/>
    <n v="8"/>
    <n v="198.22"/>
    <n v="1585.76"/>
    <n v="1264.1600000000001"/>
    <n v="321.59999999999991"/>
    <s v="Nov"/>
    <s v="2024"/>
    <x v="8"/>
    <n v="0.20280496418121274"/>
    <n v="198.22"/>
    <x v="1"/>
  </r>
  <r>
    <s v="A67AA2BE"/>
    <d v="2024-11-24T00:00:00"/>
    <x v="125"/>
    <n v="1400"/>
    <x v="1"/>
    <x v="3"/>
    <x v="17"/>
    <n v="1"/>
    <n v="465.48"/>
    <n v="465.48"/>
    <n v="287.52"/>
    <n v="177.96000000000004"/>
    <s v="Nov"/>
    <s v="2024"/>
    <x v="8"/>
    <n v="0.38231502964681624"/>
    <n v="465.48"/>
    <x v="1"/>
  </r>
  <r>
    <s v="C4774D25"/>
    <d v="2024-11-22T00:00:00"/>
    <x v="126"/>
    <n v="9026"/>
    <x v="3"/>
    <x v="2"/>
    <x v="11"/>
    <n v="3"/>
    <n v="362.2"/>
    <n v="1086.5999999999999"/>
    <n v="715.36"/>
    <n v="371.2399999999999"/>
    <s v="Nov"/>
    <s v="2024"/>
    <x v="8"/>
    <n v="0.34165286213878143"/>
    <n v="362.2"/>
    <x v="1"/>
  </r>
  <r>
    <s v="FC4F2AF3"/>
    <d v="2024-11-21T00:00:00"/>
    <x v="127"/>
    <n v="1687"/>
    <x v="0"/>
    <x v="4"/>
    <x v="18"/>
    <n v="3"/>
    <n v="457.58"/>
    <n v="1372.74"/>
    <n v="1210.06"/>
    <n v="162.68000000000006"/>
    <s v="Nov"/>
    <s v="2024"/>
    <x v="8"/>
    <n v="0.11850751052639251"/>
    <n v="457.58"/>
    <x v="1"/>
  </r>
  <r>
    <s v="9EFA4B2D"/>
    <d v="2024-11-19T00:00:00"/>
    <x v="128"/>
    <n v="1893"/>
    <x v="1"/>
    <x v="2"/>
    <x v="11"/>
    <n v="1"/>
    <n v="193.71"/>
    <n v="193.71"/>
    <n v="168.16"/>
    <n v="25.550000000000011"/>
    <s v="Nov"/>
    <s v="2024"/>
    <x v="8"/>
    <n v="0.1318981983377214"/>
    <n v="193.71"/>
    <x v="1"/>
  </r>
  <r>
    <s v="783106A7"/>
    <d v="2024-11-18T00:00:00"/>
    <x v="129"/>
    <n v="2441"/>
    <x v="3"/>
    <x v="0"/>
    <x v="15"/>
    <n v="8"/>
    <n v="26.61"/>
    <n v="212.88"/>
    <n v="183.09"/>
    <n v="29.789999999999992"/>
    <s v="Nov"/>
    <s v="2024"/>
    <x v="8"/>
    <n v="0.13993799323562567"/>
    <n v="26.61"/>
    <x v="1"/>
  </r>
  <r>
    <s v="5FCDEF01"/>
    <d v="2024-11-17T00:00:00"/>
    <x v="130"/>
    <n v="6905"/>
    <x v="3"/>
    <x v="1"/>
    <x v="1"/>
    <n v="6"/>
    <n v="239.65"/>
    <n v="1437.9"/>
    <n v="1016.18"/>
    <n v="421.72000000000014"/>
    <s v="Nov"/>
    <s v="2024"/>
    <x v="8"/>
    <n v="0.29328882397941453"/>
    <n v="239.65"/>
    <x v="1"/>
  </r>
  <r>
    <s v="C4C05C0C"/>
    <d v="2024-11-15T00:00:00"/>
    <x v="131"/>
    <n v="6463"/>
    <x v="0"/>
    <x v="4"/>
    <x v="9"/>
    <n v="7"/>
    <n v="222.13"/>
    <n v="1554.9099999999999"/>
    <n v="1120.22"/>
    <n v="434.68999999999983"/>
    <s v="Nov"/>
    <s v="2024"/>
    <x v="8"/>
    <n v="0.27955958865786434"/>
    <n v="222.12999999999997"/>
    <x v="1"/>
  </r>
  <r>
    <s v="B3EF7C6F"/>
    <d v="2024-11-15T00:00:00"/>
    <x v="132"/>
    <n v="6475"/>
    <x v="3"/>
    <x v="2"/>
    <x v="13"/>
    <n v="5"/>
    <n v="445.4"/>
    <n v="2227"/>
    <n v="1582.2"/>
    <n v="644.79999999999995"/>
    <s v="Nov"/>
    <s v="2024"/>
    <x v="8"/>
    <n v="0.28953749438706777"/>
    <n v="445.4"/>
    <x v="0"/>
  </r>
  <r>
    <s v="8815A7F4"/>
    <d v="2024-11-13T00:00:00"/>
    <x v="133"/>
    <n v="2864"/>
    <x v="2"/>
    <x v="0"/>
    <x v="15"/>
    <n v="9"/>
    <n v="69.92"/>
    <n v="629.28"/>
    <n v="423.87"/>
    <n v="205.40999999999997"/>
    <s v="Nov"/>
    <s v="2024"/>
    <x v="8"/>
    <n v="0.32642067124332569"/>
    <n v="69.92"/>
    <x v="1"/>
  </r>
  <r>
    <s v="8F2ECE8E"/>
    <d v="2024-11-09T00:00:00"/>
    <x v="134"/>
    <n v="5770"/>
    <x v="0"/>
    <x v="0"/>
    <x v="0"/>
    <n v="10"/>
    <n v="349.93"/>
    <n v="3499.3"/>
    <n v="2885.44"/>
    <n v="613.86000000000013"/>
    <s v="Nov"/>
    <s v="2024"/>
    <x v="8"/>
    <n v="0.1754236561598034"/>
    <n v="349.93"/>
    <x v="0"/>
  </r>
  <r>
    <s v="0905AEDB"/>
    <d v="2024-11-04T00:00:00"/>
    <x v="135"/>
    <n v="6690"/>
    <x v="0"/>
    <x v="2"/>
    <x v="2"/>
    <n v="4"/>
    <n v="100.25"/>
    <n v="401"/>
    <n v="323.45"/>
    <n v="77.550000000000011"/>
    <s v="Nov"/>
    <s v="2024"/>
    <x v="8"/>
    <n v="0.1933915211970075"/>
    <n v="100.25"/>
    <x v="1"/>
  </r>
  <r>
    <s v="3BAC0BFE"/>
    <d v="2024-11-04T00:00:00"/>
    <x v="136"/>
    <n v="4436"/>
    <x v="0"/>
    <x v="0"/>
    <x v="19"/>
    <n v="6"/>
    <n v="374.5"/>
    <n v="2247"/>
    <n v="1980.99"/>
    <n v="266.01"/>
    <s v="Nov"/>
    <s v="2024"/>
    <x v="8"/>
    <n v="0.11838451268357809"/>
    <n v="374.5"/>
    <x v="1"/>
  </r>
  <r>
    <s v="5E674176"/>
    <d v="2024-11-03T00:00:00"/>
    <x v="137"/>
    <n v="1741"/>
    <x v="1"/>
    <x v="3"/>
    <x v="12"/>
    <n v="4"/>
    <n v="180.03"/>
    <n v="720.12"/>
    <n v="579.45000000000005"/>
    <n v="140.66999999999996"/>
    <s v="Nov"/>
    <s v="2024"/>
    <x v="8"/>
    <n v="0.19534244292617892"/>
    <n v="180.03"/>
    <x v="1"/>
  </r>
  <r>
    <s v="94AE8F45"/>
    <d v="2024-11-03T00:00:00"/>
    <x v="138"/>
    <n v="1247"/>
    <x v="3"/>
    <x v="4"/>
    <x v="8"/>
    <n v="5"/>
    <n v="490.2"/>
    <n v="2451"/>
    <n v="1945.67"/>
    <n v="505.32999999999993"/>
    <s v="Nov"/>
    <s v="2024"/>
    <x v="8"/>
    <n v="0.20617299061607505"/>
    <n v="490.2"/>
    <x v="0"/>
  </r>
  <r>
    <s v="1A593D56"/>
    <d v="2024-11-03T00:00:00"/>
    <x v="139"/>
    <n v="1000"/>
    <x v="2"/>
    <x v="0"/>
    <x v="19"/>
    <n v="9"/>
    <n v="124.19"/>
    <n v="1117.71"/>
    <n v="799.76"/>
    <n v="317.95000000000005"/>
    <s v="Nov"/>
    <s v="2024"/>
    <x v="8"/>
    <n v="0.28446555904483278"/>
    <n v="124.19"/>
    <x v="1"/>
  </r>
  <r>
    <s v="AEEAAF20"/>
    <d v="2024-11-02T00:00:00"/>
    <x v="140"/>
    <n v="9656"/>
    <x v="0"/>
    <x v="4"/>
    <x v="18"/>
    <n v="9"/>
    <n v="205.23"/>
    <n v="1847.07"/>
    <n v="1351.95"/>
    <n v="495.11999999999989"/>
    <s v="Nov"/>
    <s v="2024"/>
    <x v="8"/>
    <n v="0.26805697672530004"/>
    <n v="205.23"/>
    <x v="1"/>
  </r>
  <r>
    <s v="921C6048"/>
    <d v="2024-10-31T00:00:00"/>
    <x v="141"/>
    <n v="7207"/>
    <x v="0"/>
    <x v="3"/>
    <x v="12"/>
    <n v="5"/>
    <n v="161.53"/>
    <n v="807.65"/>
    <n v="629.91"/>
    <n v="177.74"/>
    <s v="Oct"/>
    <s v="2024"/>
    <x v="9"/>
    <n v="0.22007057512536374"/>
    <n v="161.53"/>
    <x v="1"/>
  </r>
  <r>
    <s v="00ABE844"/>
    <d v="2024-10-30T00:00:00"/>
    <x v="142"/>
    <n v="7172"/>
    <x v="1"/>
    <x v="4"/>
    <x v="16"/>
    <n v="10"/>
    <n v="147.06"/>
    <n v="1470.6"/>
    <n v="1041"/>
    <n v="429.59999999999991"/>
    <s v="Oct"/>
    <s v="2024"/>
    <x v="9"/>
    <n v="0.292125662994696"/>
    <n v="147.06"/>
    <x v="1"/>
  </r>
  <r>
    <s v="5DA312FB"/>
    <d v="2024-10-27T00:00:00"/>
    <x v="143"/>
    <n v="8658"/>
    <x v="1"/>
    <x v="1"/>
    <x v="6"/>
    <n v="10"/>
    <n v="150.4"/>
    <n v="1504"/>
    <n v="1211.6500000000001"/>
    <n v="292.34999999999991"/>
    <s v="Oct"/>
    <s v="2024"/>
    <x v="9"/>
    <n v="0.19438164893617016"/>
    <n v="150.4"/>
    <x v="1"/>
  </r>
  <r>
    <s v="B8380ED4"/>
    <d v="2024-10-27T00:00:00"/>
    <x v="144"/>
    <n v="3392"/>
    <x v="2"/>
    <x v="0"/>
    <x v="10"/>
    <n v="1"/>
    <n v="184.84"/>
    <n v="184.84"/>
    <n v="151.72"/>
    <n v="33.120000000000005"/>
    <s v="Oct"/>
    <s v="2024"/>
    <x v="9"/>
    <n v="0.17918199523912576"/>
    <n v="184.84"/>
    <x v="1"/>
  </r>
  <r>
    <s v="79FFF9CE"/>
    <d v="2024-10-23T00:00:00"/>
    <x v="145"/>
    <n v="6626"/>
    <x v="2"/>
    <x v="1"/>
    <x v="7"/>
    <n v="2"/>
    <n v="125.72"/>
    <n v="251.44"/>
    <n v="206.18"/>
    <n v="45.259999999999991"/>
    <s v="Oct"/>
    <s v="2024"/>
    <x v="9"/>
    <n v="0.18000318167356025"/>
    <n v="125.72"/>
    <x v="1"/>
  </r>
  <r>
    <s v="55DBAC82"/>
    <d v="2024-10-17T00:00:00"/>
    <x v="146"/>
    <n v="3882"/>
    <x v="1"/>
    <x v="4"/>
    <x v="9"/>
    <n v="6"/>
    <n v="300.14999999999998"/>
    <n v="1800.8999999999999"/>
    <n v="1540.04"/>
    <n v="260.8599999999999"/>
    <s v="Oct"/>
    <s v="2024"/>
    <x v="9"/>
    <n v="0.1448497973235604"/>
    <n v="300.14999999999998"/>
    <x v="1"/>
  </r>
  <r>
    <s v="10D20225"/>
    <d v="2024-10-17T00:00:00"/>
    <x v="147"/>
    <n v="8555"/>
    <x v="2"/>
    <x v="0"/>
    <x v="10"/>
    <n v="9"/>
    <n v="194.06"/>
    <n v="1746.54"/>
    <n v="1176.6199999999999"/>
    <n v="569.92000000000007"/>
    <s v="Oct"/>
    <s v="2024"/>
    <x v="9"/>
    <n v="0.32631374030941179"/>
    <n v="194.06"/>
    <x v="0"/>
  </r>
  <r>
    <s v="EC05E6AA"/>
    <d v="2024-10-16T00:00:00"/>
    <x v="148"/>
    <n v="6296"/>
    <x v="1"/>
    <x v="4"/>
    <x v="18"/>
    <n v="5"/>
    <n v="253.28"/>
    <n v="1266.4000000000001"/>
    <n v="861.61"/>
    <n v="404.79000000000008"/>
    <s v="Oct"/>
    <s v="2024"/>
    <x v="9"/>
    <n v="0.31963834491471893"/>
    <n v="253.28000000000003"/>
    <x v="1"/>
  </r>
  <r>
    <s v="FCBBC806"/>
    <d v="2024-10-14T00:00:00"/>
    <x v="149"/>
    <n v="5307"/>
    <x v="2"/>
    <x v="0"/>
    <x v="15"/>
    <n v="7"/>
    <n v="379.44"/>
    <n v="2656.08"/>
    <n v="2054.27"/>
    <n v="601.80999999999995"/>
    <s v="Oct"/>
    <s v="2024"/>
    <x v="9"/>
    <n v="0.22657826571488809"/>
    <n v="379.44"/>
    <x v="0"/>
  </r>
  <r>
    <s v="809E3989"/>
    <d v="2024-10-14T00:00:00"/>
    <x v="150"/>
    <n v="8247"/>
    <x v="0"/>
    <x v="3"/>
    <x v="17"/>
    <n v="2"/>
    <n v="320.7"/>
    <n v="641.4"/>
    <n v="413.18"/>
    <n v="228.21999999999997"/>
    <s v="Oct"/>
    <s v="2024"/>
    <x v="9"/>
    <n v="0.35581540380417831"/>
    <n v="320.7"/>
    <x v="1"/>
  </r>
  <r>
    <s v="EAF3AFFF"/>
    <d v="2024-10-12T00:00:00"/>
    <x v="151"/>
    <n v="4973"/>
    <x v="2"/>
    <x v="2"/>
    <x v="2"/>
    <n v="3"/>
    <n v="286.11"/>
    <n v="858.33"/>
    <n v="580.70000000000005"/>
    <n v="277.63"/>
    <s v="Oct"/>
    <s v="2024"/>
    <x v="9"/>
    <n v="0.32345368331527496"/>
    <n v="286.11"/>
    <x v="1"/>
  </r>
  <r>
    <s v="1714CC47"/>
    <d v="2024-10-11T00:00:00"/>
    <x v="152"/>
    <n v="5922"/>
    <x v="1"/>
    <x v="1"/>
    <x v="5"/>
    <n v="5"/>
    <n v="427.25"/>
    <n v="2136.25"/>
    <n v="1648.81"/>
    <n v="487.44000000000005"/>
    <s v="Oct"/>
    <s v="2024"/>
    <x v="9"/>
    <n v="0.2281755412521943"/>
    <n v="427.25"/>
    <x v="1"/>
  </r>
  <r>
    <s v="6F3F9956"/>
    <d v="2024-10-09T00:00:00"/>
    <x v="153"/>
    <n v="2642"/>
    <x v="0"/>
    <x v="0"/>
    <x v="0"/>
    <n v="3"/>
    <n v="253.74"/>
    <n v="761.22"/>
    <n v="631.85"/>
    <n v="129.37"/>
    <s v="Oct"/>
    <s v="2024"/>
    <x v="9"/>
    <n v="0.16995086834292319"/>
    <n v="253.74"/>
    <x v="1"/>
  </r>
  <r>
    <s v="F11C641A"/>
    <d v="2024-10-08T00:00:00"/>
    <x v="154"/>
    <n v="3624"/>
    <x v="0"/>
    <x v="0"/>
    <x v="10"/>
    <n v="7"/>
    <n v="341.38"/>
    <n v="2389.66"/>
    <n v="1879.48"/>
    <n v="510.17999999999984"/>
    <s v="Oct"/>
    <s v="2024"/>
    <x v="9"/>
    <n v="0.21349480679259805"/>
    <n v="341.38"/>
    <x v="0"/>
  </r>
  <r>
    <s v="D1E288CF"/>
    <d v="2024-09-30T00:00:00"/>
    <x v="155"/>
    <n v="1832"/>
    <x v="1"/>
    <x v="2"/>
    <x v="11"/>
    <n v="7"/>
    <n v="260.17"/>
    <n v="1821.19"/>
    <n v="1624.05"/>
    <n v="197.1400000000001"/>
    <s v="Sep"/>
    <s v="2024"/>
    <x v="10"/>
    <n v="0.10824790384309166"/>
    <n v="260.17"/>
    <x v="1"/>
  </r>
  <r>
    <s v="4BDF43C3"/>
    <d v="2024-09-29T00:00:00"/>
    <x v="156"/>
    <n v="3734"/>
    <x v="0"/>
    <x v="1"/>
    <x v="6"/>
    <n v="2"/>
    <n v="494.21"/>
    <n v="988.42"/>
    <n v="754.14"/>
    <n v="234.27999999999997"/>
    <s v="Sep"/>
    <s v="2024"/>
    <x v="10"/>
    <n v="0.23702474656522529"/>
    <n v="494.21"/>
    <x v="1"/>
  </r>
  <r>
    <s v="874A642C"/>
    <d v="2024-09-29T00:00:00"/>
    <x v="157"/>
    <n v="7226"/>
    <x v="3"/>
    <x v="4"/>
    <x v="9"/>
    <n v="9"/>
    <n v="125.41"/>
    <n v="1128.69"/>
    <n v="983.25"/>
    <n v="145.44000000000005"/>
    <s v="Sep"/>
    <s v="2024"/>
    <x v="10"/>
    <n v="0.12885734789889167"/>
    <n v="125.41000000000001"/>
    <x v="1"/>
  </r>
  <r>
    <s v="4207A1CA"/>
    <d v="2024-09-29T00:00:00"/>
    <x v="158"/>
    <n v="3138"/>
    <x v="2"/>
    <x v="3"/>
    <x v="12"/>
    <n v="1"/>
    <n v="484.59"/>
    <n v="484.59"/>
    <n v="371.77"/>
    <n v="112.82"/>
    <s v="Sep"/>
    <s v="2024"/>
    <x v="10"/>
    <n v="0.2328153696939681"/>
    <n v="484.59"/>
    <x v="1"/>
  </r>
  <r>
    <s v="1B571BB7"/>
    <d v="2024-09-27T00:00:00"/>
    <x v="159"/>
    <n v="3233"/>
    <x v="1"/>
    <x v="1"/>
    <x v="1"/>
    <n v="1"/>
    <n v="98.1"/>
    <n v="98.1"/>
    <n v="65.59"/>
    <n v="32.509999999999991"/>
    <s v="Sep"/>
    <s v="2024"/>
    <x v="10"/>
    <n v="0.33139653414882764"/>
    <n v="98.1"/>
    <x v="1"/>
  </r>
  <r>
    <s v="36B0F56F"/>
    <d v="2024-09-26T00:00:00"/>
    <x v="160"/>
    <n v="6079"/>
    <x v="2"/>
    <x v="3"/>
    <x v="12"/>
    <n v="4"/>
    <n v="42.69"/>
    <n v="170.76"/>
    <n v="139.47"/>
    <n v="31.289999999999992"/>
    <s v="Sep"/>
    <s v="2024"/>
    <x v="10"/>
    <n v="0.18323963457484185"/>
    <n v="42.69"/>
    <x v="1"/>
  </r>
  <r>
    <s v="B9DF063D"/>
    <d v="2024-09-26T00:00:00"/>
    <x v="161"/>
    <n v="3771"/>
    <x v="2"/>
    <x v="4"/>
    <x v="16"/>
    <n v="10"/>
    <n v="428.52"/>
    <n v="4285.2"/>
    <n v="3481.15"/>
    <n v="804.04999999999973"/>
    <s v="Sep"/>
    <s v="2024"/>
    <x v="10"/>
    <n v="0.18763418276859883"/>
    <n v="428.52"/>
    <x v="0"/>
  </r>
  <r>
    <s v="90F00B3A"/>
    <d v="2024-09-24T00:00:00"/>
    <x v="162"/>
    <n v="2377"/>
    <x v="3"/>
    <x v="4"/>
    <x v="8"/>
    <n v="1"/>
    <n v="35.44"/>
    <n v="35.44"/>
    <n v="25.27"/>
    <n v="10.169999999999998"/>
    <s v="Sep"/>
    <s v="2024"/>
    <x v="10"/>
    <n v="0.28696388261851014"/>
    <n v="35.44"/>
    <x v="1"/>
  </r>
  <r>
    <s v="3A1E8B82"/>
    <d v="2024-09-23T00:00:00"/>
    <x v="163"/>
    <n v="9861"/>
    <x v="3"/>
    <x v="4"/>
    <x v="9"/>
    <n v="3"/>
    <n v="86.71"/>
    <n v="260.13"/>
    <n v="172.28"/>
    <n v="87.85"/>
    <s v="Sep"/>
    <s v="2024"/>
    <x v="10"/>
    <n v="0.33771575750586241"/>
    <n v="86.71"/>
    <x v="1"/>
  </r>
  <r>
    <s v="A238859A"/>
    <d v="2024-09-21T00:00:00"/>
    <x v="164"/>
    <n v="9273"/>
    <x v="1"/>
    <x v="2"/>
    <x v="14"/>
    <n v="7"/>
    <n v="86.79"/>
    <n v="607.53000000000009"/>
    <n v="395.57"/>
    <n v="211.96000000000009"/>
    <s v="Sep"/>
    <s v="2024"/>
    <x v="10"/>
    <n v="0.34888812075123871"/>
    <n v="86.79"/>
    <x v="1"/>
  </r>
  <r>
    <s v="4648C60E"/>
    <d v="2024-09-20T00:00:00"/>
    <x v="165"/>
    <n v="9806"/>
    <x v="0"/>
    <x v="4"/>
    <x v="8"/>
    <n v="2"/>
    <n v="90.3"/>
    <n v="180.6"/>
    <n v="112.15"/>
    <n v="68.449999999999989"/>
    <s v="Sep"/>
    <s v="2024"/>
    <x v="10"/>
    <n v="0.3790143964562569"/>
    <n v="90.3"/>
    <x v="1"/>
  </r>
  <r>
    <s v="25BB81B3"/>
    <d v="2024-09-16T00:00:00"/>
    <x v="166"/>
    <n v="1205"/>
    <x v="2"/>
    <x v="4"/>
    <x v="18"/>
    <n v="10"/>
    <n v="158.05000000000001"/>
    <n v="1580.5"/>
    <n v="1277.25"/>
    <n v="303.25"/>
    <s v="Sep"/>
    <s v="2024"/>
    <x v="10"/>
    <n v="0.19186966149952547"/>
    <n v="158.05000000000001"/>
    <x v="1"/>
  </r>
  <r>
    <s v="1D7D038E"/>
    <d v="2024-09-07T00:00:00"/>
    <x v="167"/>
    <n v="7000"/>
    <x v="3"/>
    <x v="0"/>
    <x v="15"/>
    <n v="3"/>
    <n v="375.01"/>
    <n v="1125.03"/>
    <n v="923.21"/>
    <n v="201.81999999999994"/>
    <s v="Sep"/>
    <s v="2024"/>
    <x v="10"/>
    <n v="0.17939077180164079"/>
    <n v="375.01"/>
    <x v="1"/>
  </r>
  <r>
    <s v="5F1F9069"/>
    <d v="2024-09-04T00:00:00"/>
    <x v="168"/>
    <n v="2765"/>
    <x v="3"/>
    <x v="1"/>
    <x v="5"/>
    <n v="8"/>
    <n v="139.66"/>
    <n v="1117.28"/>
    <n v="879.93"/>
    <n v="237.35000000000002"/>
    <s v="Sep"/>
    <s v="2024"/>
    <x v="10"/>
    <n v="0.21243555778318776"/>
    <n v="139.66"/>
    <x v="1"/>
  </r>
  <r>
    <s v="27CC966F"/>
    <d v="2024-09-01T00:00:00"/>
    <x v="169"/>
    <n v="9567"/>
    <x v="1"/>
    <x v="1"/>
    <x v="1"/>
    <n v="9"/>
    <n v="29.42"/>
    <n v="264.78000000000003"/>
    <n v="186.6"/>
    <n v="78.180000000000035"/>
    <s v="Sep"/>
    <s v="2024"/>
    <x v="10"/>
    <n v="0.29526399274869713"/>
    <n v="29.42"/>
    <x v="1"/>
  </r>
  <r>
    <s v="DB53DF0F"/>
    <d v="2024-08-31T00:00:00"/>
    <x v="170"/>
    <n v="7261"/>
    <x v="0"/>
    <x v="1"/>
    <x v="7"/>
    <n v="6"/>
    <n v="340.57"/>
    <n v="2043.42"/>
    <n v="1790.46"/>
    <n v="252.96000000000004"/>
    <s v="Aug"/>
    <s v="2024"/>
    <x v="11"/>
    <n v="0.12379246557242271"/>
    <n v="340.57"/>
    <x v="1"/>
  </r>
  <r>
    <s v="2D9085AB"/>
    <d v="2024-08-31T00:00:00"/>
    <x v="171"/>
    <n v="7101"/>
    <x v="2"/>
    <x v="3"/>
    <x v="3"/>
    <n v="1"/>
    <n v="16.34"/>
    <n v="16.34"/>
    <n v="13.44"/>
    <n v="2.9000000000000004"/>
    <s v="Aug"/>
    <s v="2024"/>
    <x v="11"/>
    <n v="0.17747858017135865"/>
    <n v="16.34"/>
    <x v="1"/>
  </r>
  <r>
    <s v="372A72DA"/>
    <d v="2024-08-27T00:00:00"/>
    <x v="172"/>
    <n v="9583"/>
    <x v="1"/>
    <x v="2"/>
    <x v="2"/>
    <n v="1"/>
    <n v="283.92"/>
    <n v="283.92"/>
    <n v="241.71"/>
    <n v="42.210000000000008"/>
    <s v="Aug"/>
    <s v="2024"/>
    <x v="11"/>
    <n v="0.14866863905325445"/>
    <n v="283.92"/>
    <x v="1"/>
  </r>
  <r>
    <s v="79770B82"/>
    <d v="2024-08-26T00:00:00"/>
    <x v="173"/>
    <n v="2503"/>
    <x v="0"/>
    <x v="3"/>
    <x v="12"/>
    <n v="1"/>
    <n v="257.58"/>
    <n v="257.58"/>
    <n v="201.96"/>
    <n v="55.619999999999976"/>
    <s v="Aug"/>
    <s v="2024"/>
    <x v="11"/>
    <n v="0.21593291404612153"/>
    <n v="257.58"/>
    <x v="1"/>
  </r>
  <r>
    <s v="6BBEC34E"/>
    <d v="2024-08-24T00:00:00"/>
    <x v="174"/>
    <n v="3229"/>
    <x v="0"/>
    <x v="2"/>
    <x v="11"/>
    <n v="3"/>
    <n v="43.04"/>
    <n v="129.12"/>
    <n v="79.23"/>
    <n v="49.89"/>
    <s v="Aug"/>
    <s v="2024"/>
    <x v="11"/>
    <n v="0.38638475836431224"/>
    <n v="43.04"/>
    <x v="1"/>
  </r>
  <r>
    <s v="11F8FD45"/>
    <d v="2024-08-23T00:00:00"/>
    <x v="175"/>
    <n v="1593"/>
    <x v="1"/>
    <x v="2"/>
    <x v="13"/>
    <n v="10"/>
    <n v="256.19"/>
    <n v="2561.9"/>
    <n v="2070.4899999999998"/>
    <n v="491.41000000000031"/>
    <s v="Aug"/>
    <s v="2024"/>
    <x v="11"/>
    <n v="0.19181466880049974"/>
    <n v="256.19"/>
    <x v="1"/>
  </r>
  <r>
    <s v="01C4D1D3"/>
    <d v="2024-08-20T00:00:00"/>
    <x v="176"/>
    <n v="5250"/>
    <x v="2"/>
    <x v="3"/>
    <x v="4"/>
    <n v="9"/>
    <n v="385.61"/>
    <n v="3470.4900000000002"/>
    <n v="2848.42"/>
    <n v="622.07000000000016"/>
    <s v="Aug"/>
    <s v="2024"/>
    <x v="11"/>
    <n v="0.17924558203596613"/>
    <n v="385.61"/>
    <x v="0"/>
  </r>
  <r>
    <s v="1AB28803"/>
    <d v="2024-08-18T00:00:00"/>
    <x v="177"/>
    <n v="3426"/>
    <x v="0"/>
    <x v="2"/>
    <x v="2"/>
    <n v="6"/>
    <n v="16.86"/>
    <n v="101.16"/>
    <n v="89.63"/>
    <n v="11.530000000000001"/>
    <s v="Aug"/>
    <s v="2024"/>
    <x v="11"/>
    <n v="0.11397785686041915"/>
    <n v="16.86"/>
    <x v="1"/>
  </r>
  <r>
    <s v="4F1E57DB"/>
    <d v="2024-08-17T00:00:00"/>
    <x v="178"/>
    <n v="5125"/>
    <x v="3"/>
    <x v="4"/>
    <x v="8"/>
    <n v="1"/>
    <n v="49.41"/>
    <n v="49.41"/>
    <n v="39.68"/>
    <n v="9.7299999999999969"/>
    <s v="Aug"/>
    <s v="2024"/>
    <x v="11"/>
    <n v="0.19692369965594003"/>
    <n v="49.41"/>
    <x v="1"/>
  </r>
  <r>
    <s v="FFCC7672"/>
    <d v="2024-08-17T00:00:00"/>
    <x v="179"/>
    <n v="6221"/>
    <x v="1"/>
    <x v="2"/>
    <x v="14"/>
    <n v="5"/>
    <n v="10.78"/>
    <n v="53.9"/>
    <n v="36.200000000000003"/>
    <n v="17.699999999999996"/>
    <s v="Aug"/>
    <s v="2024"/>
    <x v="11"/>
    <n v="0.32838589981447119"/>
    <n v="10.78"/>
    <x v="1"/>
  </r>
  <r>
    <s v="964A7BD1"/>
    <d v="2024-08-16T00:00:00"/>
    <x v="180"/>
    <n v="7126"/>
    <x v="1"/>
    <x v="2"/>
    <x v="14"/>
    <n v="1"/>
    <n v="216.38"/>
    <n v="216.38"/>
    <n v="170.74"/>
    <n v="45.639999999999986"/>
    <s v="Aug"/>
    <s v="2024"/>
    <x v="11"/>
    <n v="0.21092522414271184"/>
    <n v="216.38"/>
    <x v="1"/>
  </r>
  <r>
    <s v="C111999F"/>
    <d v="2024-08-14T00:00:00"/>
    <x v="181"/>
    <n v="2822"/>
    <x v="3"/>
    <x v="4"/>
    <x v="8"/>
    <n v="5"/>
    <n v="404.57"/>
    <n v="2022.85"/>
    <n v="1539.14"/>
    <n v="483.70999999999981"/>
    <s v="Aug"/>
    <s v="2024"/>
    <x v="11"/>
    <n v="0.23912301950218742"/>
    <n v="404.57"/>
    <x v="1"/>
  </r>
  <r>
    <s v="D7AABD1D"/>
    <d v="2024-08-14T00:00:00"/>
    <x v="182"/>
    <n v="9207"/>
    <x v="1"/>
    <x v="2"/>
    <x v="14"/>
    <n v="9"/>
    <n v="463.78"/>
    <n v="4174.0199999999995"/>
    <n v="3633.7"/>
    <n v="540.31999999999971"/>
    <s v="Aug"/>
    <s v="2024"/>
    <x v="11"/>
    <n v="0.12944834955270931"/>
    <n v="463.78"/>
    <x v="0"/>
  </r>
  <r>
    <s v="C0795B0D"/>
    <d v="2024-08-12T00:00:00"/>
    <x v="183"/>
    <n v="1294"/>
    <x v="3"/>
    <x v="4"/>
    <x v="16"/>
    <n v="1"/>
    <n v="40.340000000000003"/>
    <n v="40.340000000000003"/>
    <n v="33.71"/>
    <n v="6.6300000000000026"/>
    <s v="Aug"/>
    <s v="2024"/>
    <x v="11"/>
    <n v="0.16435299950421423"/>
    <n v="40.340000000000003"/>
    <x v="1"/>
  </r>
  <r>
    <s v="8037410E"/>
    <d v="2024-08-10T00:00:00"/>
    <x v="184"/>
    <n v="1468"/>
    <x v="1"/>
    <x v="4"/>
    <x v="18"/>
    <n v="2"/>
    <n v="407.3"/>
    <n v="814.6"/>
    <n v="491.74"/>
    <n v="322.86"/>
    <s v="Aug"/>
    <s v="2024"/>
    <x v="11"/>
    <n v="0.39634176282838202"/>
    <n v="407.3"/>
    <x v="1"/>
  </r>
  <r>
    <s v="B9836972"/>
    <d v="2024-08-08T00:00:00"/>
    <x v="185"/>
    <n v="8385"/>
    <x v="3"/>
    <x v="4"/>
    <x v="18"/>
    <n v="9"/>
    <n v="327.04000000000002"/>
    <n v="2943.36"/>
    <n v="1928.08"/>
    <n v="1015.2800000000002"/>
    <s v="Aug"/>
    <s v="2024"/>
    <x v="11"/>
    <n v="0.34493911719939124"/>
    <n v="327.04000000000002"/>
    <x v="0"/>
  </r>
  <r>
    <s v="D0CE3733"/>
    <d v="2024-08-08T00:00:00"/>
    <x v="186"/>
    <n v="9587"/>
    <x v="0"/>
    <x v="2"/>
    <x v="11"/>
    <n v="3"/>
    <n v="43.62"/>
    <n v="130.85999999999999"/>
    <n v="93.33"/>
    <n v="37.529999999999987"/>
    <s v="Aug"/>
    <s v="2024"/>
    <x v="11"/>
    <n v="0.28679504814305357"/>
    <n v="43.62"/>
    <x v="1"/>
  </r>
  <r>
    <s v="BD3F5CB5"/>
    <d v="2024-08-04T00:00:00"/>
    <x v="187"/>
    <n v="1456"/>
    <x v="1"/>
    <x v="2"/>
    <x v="2"/>
    <n v="10"/>
    <n v="298.58999999999997"/>
    <n v="2985.8999999999996"/>
    <n v="1819.08"/>
    <n v="1166.8199999999997"/>
    <s v="Aug"/>
    <s v="2024"/>
    <x v="11"/>
    <n v="0.39077665025620412"/>
    <n v="298.58999999999997"/>
    <x v="0"/>
  </r>
  <r>
    <s v="EC76FFB4"/>
    <d v="2024-08-04T00:00:00"/>
    <x v="188"/>
    <n v="4385"/>
    <x v="3"/>
    <x v="4"/>
    <x v="16"/>
    <n v="5"/>
    <n v="330.77"/>
    <n v="1653.85"/>
    <n v="1032.9000000000001"/>
    <n v="620.94999999999982"/>
    <s v="Aug"/>
    <s v="2024"/>
    <x v="11"/>
    <n v="0.37545726637845017"/>
    <n v="330.77"/>
    <x v="0"/>
  </r>
  <r>
    <s v="2E14D80C"/>
    <d v="2024-07-31T00:00:00"/>
    <x v="189"/>
    <n v="8597"/>
    <x v="2"/>
    <x v="2"/>
    <x v="11"/>
    <n v="2"/>
    <n v="463.81"/>
    <n v="927.62"/>
    <n v="591.30999999999995"/>
    <n v="336.31000000000006"/>
    <s v="Jul"/>
    <s v="2024"/>
    <x v="12"/>
    <n v="0.3625514758198401"/>
    <n v="463.81"/>
    <x v="1"/>
  </r>
  <r>
    <s v="B7578DC4"/>
    <d v="2024-07-31T00:00:00"/>
    <x v="190"/>
    <n v="5262"/>
    <x v="2"/>
    <x v="2"/>
    <x v="2"/>
    <n v="9"/>
    <n v="443.14"/>
    <n v="3988.2599999999998"/>
    <n v="3364.08"/>
    <n v="624.17999999999984"/>
    <s v="Jul"/>
    <s v="2024"/>
    <x v="12"/>
    <n v="0.15650434023860027"/>
    <n v="443.14"/>
    <x v="0"/>
  </r>
  <r>
    <s v="993F54B7"/>
    <d v="2024-07-31T00:00:00"/>
    <x v="191"/>
    <n v="5232"/>
    <x v="0"/>
    <x v="3"/>
    <x v="4"/>
    <n v="1"/>
    <n v="144.62"/>
    <n v="144.62"/>
    <n v="102.76"/>
    <n v="41.86"/>
    <s v="Jul"/>
    <s v="2024"/>
    <x v="12"/>
    <n v="0.28944820909970959"/>
    <n v="144.62"/>
    <x v="1"/>
  </r>
  <r>
    <s v="A2ECE2CE"/>
    <d v="2024-07-30T00:00:00"/>
    <x v="192"/>
    <n v="5831"/>
    <x v="1"/>
    <x v="4"/>
    <x v="8"/>
    <n v="1"/>
    <n v="427.72"/>
    <n v="427.72"/>
    <n v="271.77"/>
    <n v="155.95000000000005"/>
    <s v="Jul"/>
    <s v="2024"/>
    <x v="12"/>
    <n v="0.36460768727204723"/>
    <n v="427.72"/>
    <x v="1"/>
  </r>
  <r>
    <s v="1F7187CF"/>
    <d v="2024-07-28T00:00:00"/>
    <x v="193"/>
    <n v="3277"/>
    <x v="3"/>
    <x v="2"/>
    <x v="14"/>
    <n v="5"/>
    <n v="167.96"/>
    <n v="839.80000000000007"/>
    <n v="668.18"/>
    <n v="171.62000000000012"/>
    <s v="Jul"/>
    <s v="2024"/>
    <x v="12"/>
    <n v="0.20435818051917135"/>
    <n v="167.96"/>
    <x v="1"/>
  </r>
  <r>
    <s v="FC96D49E"/>
    <d v="2024-07-27T00:00:00"/>
    <x v="194"/>
    <n v="6161"/>
    <x v="3"/>
    <x v="4"/>
    <x v="18"/>
    <n v="10"/>
    <n v="241.31"/>
    <n v="2413.1"/>
    <n v="1499.01"/>
    <n v="914.08999999999992"/>
    <s v="Jul"/>
    <s v="2024"/>
    <x v="12"/>
    <n v="0.37880319920434297"/>
    <n v="241.31"/>
    <x v="0"/>
  </r>
  <r>
    <s v="208BFA64"/>
    <d v="2024-07-26T00:00:00"/>
    <x v="195"/>
    <n v="2219"/>
    <x v="0"/>
    <x v="1"/>
    <x v="5"/>
    <n v="3"/>
    <n v="91.4"/>
    <n v="274.20000000000005"/>
    <n v="210.32"/>
    <n v="63.880000000000052"/>
    <s v="Jul"/>
    <s v="2024"/>
    <x v="12"/>
    <n v="0.2329686360320935"/>
    <n v="91.40000000000002"/>
    <x v="1"/>
  </r>
  <r>
    <s v="E12813B2"/>
    <d v="2024-07-24T00:00:00"/>
    <x v="196"/>
    <n v="6713"/>
    <x v="2"/>
    <x v="3"/>
    <x v="4"/>
    <n v="6"/>
    <n v="31.24"/>
    <n v="187.44"/>
    <n v="136.58000000000001"/>
    <n v="50.859999999999985"/>
    <s v="Jul"/>
    <s v="2024"/>
    <x v="12"/>
    <n v="0.27134016218523255"/>
    <n v="31.24"/>
    <x v="1"/>
  </r>
  <r>
    <s v="6FFF525B"/>
    <d v="2024-07-23T00:00:00"/>
    <x v="197"/>
    <n v="3230"/>
    <x v="1"/>
    <x v="1"/>
    <x v="5"/>
    <n v="1"/>
    <n v="136.83000000000001"/>
    <n v="136.83000000000001"/>
    <n v="90.59"/>
    <n v="46.240000000000009"/>
    <s v="Jul"/>
    <s v="2024"/>
    <x v="12"/>
    <n v="0.33793758678652347"/>
    <n v="136.83000000000001"/>
    <x v="1"/>
  </r>
  <r>
    <s v="39ED4E47"/>
    <d v="2024-07-21T00:00:00"/>
    <x v="198"/>
    <n v="1080"/>
    <x v="0"/>
    <x v="0"/>
    <x v="0"/>
    <n v="7"/>
    <n v="56.01"/>
    <n v="392.07"/>
    <n v="236.3"/>
    <n v="155.76999999999998"/>
    <s v="Jul"/>
    <s v="2024"/>
    <x v="12"/>
    <n v="0.39730150228275557"/>
    <n v="56.01"/>
    <x v="1"/>
  </r>
  <r>
    <s v="496E3E66"/>
    <d v="2022-04-25T00:00:00"/>
    <x v="199"/>
    <n v="5745"/>
    <x v="2"/>
    <x v="0"/>
    <x v="0"/>
    <n v="4"/>
    <n v="222.79"/>
    <n v="891.16"/>
    <n v="588.65"/>
    <n v="302.51"/>
    <s v="Apr"/>
    <s v="2022"/>
    <x v="13"/>
    <n v="0.33945643879886889"/>
    <n v="222.7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185BC-FB8D-4353-86BF-E63731BC596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3:I18" firstHeaderRow="0" firstDataRow="1" firstDataCol="1"/>
  <pivotFields count="18">
    <pivotField showAll="0"/>
    <pivotField numFmtId="164" showAll="0"/>
    <pivotField showAll="0"/>
    <pivotField showAll="0"/>
    <pivotField showAll="0">
      <items count="5">
        <item x="2"/>
        <item h="1" x="0"/>
        <item h="1" x="3"/>
        <item h="1" x="1"/>
        <item t="default"/>
      </items>
    </pivotField>
    <pivotField showAll="0"/>
    <pivotField showAll="0"/>
    <pivotField numFmtId="1" showAll="0"/>
    <pivotField numFmtId="2" showAll="0"/>
    <pivotField dataField="1" numFmtId="2" showAll="0"/>
    <pivotField numFmtId="2" showAll="0"/>
    <pivotField dataField="1" numFmtId="2" showAll="0"/>
    <pivotField showAll="0"/>
    <pivotField showAll="0"/>
    <pivotField axis="axisRow" showAll="0">
      <items count="15">
        <item x="13"/>
        <item x="3"/>
        <item x="11"/>
        <item x="7"/>
        <item x="5"/>
        <item x="6"/>
        <item x="12"/>
        <item x="0"/>
        <item x="1"/>
        <item x="4"/>
        <item x="2"/>
        <item x="8"/>
        <item x="9"/>
        <item x="10"/>
        <item t="default"/>
      </items>
    </pivotField>
    <pivotField numFmtId="9" showAll="0"/>
    <pivotField numFmtId="2" showAll="0"/>
    <pivotField showAll="0"/>
  </pivotFields>
  <rowFields count="1">
    <field x="14"/>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Sales" fld="9" baseField="14" baseItem="0" numFmtId="1"/>
    <dataField name="Sum of Profit" fld="11" baseField="14"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22148-299A-4E68-9B6A-D48596B9444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5" firstHeaderRow="0" firstDataRow="1" firstDataCol="1"/>
  <pivotFields count="18">
    <pivotField showAll="0"/>
    <pivotField numFmtId="164" showAll="0"/>
    <pivotField showAll="0"/>
    <pivotField showAll="0"/>
    <pivotField showAll="0">
      <items count="5">
        <item x="2"/>
        <item h="1" x="0"/>
        <item h="1" x="3"/>
        <item h="1" x="1"/>
        <item t="default"/>
      </items>
    </pivotField>
    <pivotField axis="axisRow" showAll="0">
      <items count="6">
        <item x="2"/>
        <item h="1" x="1"/>
        <item h="1" x="3"/>
        <item h="1" x="0"/>
        <item h="1" x="4"/>
        <item t="default"/>
      </items>
    </pivotField>
    <pivotField showAll="0">
      <items count="21">
        <item x="11"/>
        <item x="10"/>
        <item x="14"/>
        <item x="15"/>
        <item x="9"/>
        <item x="8"/>
        <item x="17"/>
        <item x="5"/>
        <item x="6"/>
        <item x="3"/>
        <item x="19"/>
        <item x="13"/>
        <item x="18"/>
        <item x="7"/>
        <item x="4"/>
        <item x="12"/>
        <item x="16"/>
        <item x="2"/>
        <item x="1"/>
        <item x="0"/>
        <item t="default"/>
      </items>
    </pivotField>
    <pivotField numFmtId="1" showAll="0"/>
    <pivotField numFmtId="2" showAll="0"/>
    <pivotField dataField="1" numFmtId="2" showAll="0"/>
    <pivotField numFmtId="2" showAll="0"/>
    <pivotField dataField="1" numFmtId="2" showAll="0"/>
    <pivotField showAll="0"/>
    <pivotField showAll="0"/>
    <pivotField showAll="0"/>
    <pivotField dataField="1" numFmtId="9" showAll="0"/>
    <pivotField dataField="1" numFmtId="2" showAll="0"/>
    <pivotField showAll="0"/>
  </pivotFields>
  <rowFields count="1">
    <field x="5"/>
  </rowFields>
  <rowItems count="2">
    <i>
      <x/>
    </i>
    <i t="grand">
      <x/>
    </i>
  </rowItems>
  <colFields count="1">
    <field x="-2"/>
  </colFields>
  <colItems count="4">
    <i>
      <x/>
    </i>
    <i i="1">
      <x v="1"/>
    </i>
    <i i="2">
      <x v="2"/>
    </i>
    <i i="3">
      <x v="3"/>
    </i>
  </colItems>
  <dataFields count="4">
    <dataField name="Sum of Average_price" fld="16" baseField="5" baseItem="0" numFmtId="1"/>
    <dataField name="Sum of Profit_margin " fld="15" baseField="0" baseItem="0" numFmtId="9"/>
    <dataField name="Sum of Sales" fld="9" baseField="5" baseItem="1" numFmtId="1"/>
    <dataField name="Sum of Profit" fld="11" baseField="5" baseItem="0" numFmtId="1"/>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 chart="8" format="18" series="1">
      <pivotArea type="data" outline="0" fieldPosition="0">
        <references count="1">
          <reference field="4294967294" count="1" selected="0">
            <x v="2"/>
          </reference>
        </references>
      </pivotArea>
    </chartFormat>
    <chartFormat chart="8" format="19" series="1">
      <pivotArea type="data" outline="0" fieldPosition="0">
        <references count="1">
          <reference field="4294967294" count="1" selected="0">
            <x v="3"/>
          </reference>
        </references>
      </pivotArea>
    </chartFormat>
    <chartFormat chart="6" format="12">
      <pivotArea type="data" outline="0" fieldPosition="0">
        <references count="2">
          <reference field="4294967294" count="1" selected="0">
            <x v="2"/>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0B6879-7F26-45A1-821D-9BA26952103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S3:T14" firstHeaderRow="1" firstDataRow="1" firstDataCol="1"/>
  <pivotFields count="18">
    <pivotField showAll="0"/>
    <pivotField numFmtId="164" showAll="0"/>
    <pivotField showAll="0"/>
    <pivotField showAll="0"/>
    <pivotField showAll="0">
      <items count="5">
        <item x="2"/>
        <item h="1" x="0"/>
        <item h="1" x="3"/>
        <item h="1" x="1"/>
        <item t="default"/>
      </items>
    </pivotField>
    <pivotField showAll="0"/>
    <pivotField axis="axisRow" showAll="0" measureFilter="1">
      <items count="21">
        <item x="11"/>
        <item x="10"/>
        <item x="14"/>
        <item x="15"/>
        <item x="9"/>
        <item x="8"/>
        <item x="17"/>
        <item x="5"/>
        <item x="6"/>
        <item x="3"/>
        <item x="19"/>
        <item x="13"/>
        <item x="18"/>
        <item x="7"/>
        <item x="4"/>
        <item x="12"/>
        <item x="16"/>
        <item x="2"/>
        <item x="1"/>
        <item x="0"/>
        <item t="default"/>
      </items>
    </pivotField>
    <pivotField numFmtId="1" showAll="0"/>
    <pivotField numFmtId="2" showAll="0"/>
    <pivotField dataField="1" numFmtId="2" showAll="0"/>
    <pivotField numFmtId="2" showAll="0"/>
    <pivotField numFmtId="2" showAll="0"/>
    <pivotField showAll="0"/>
    <pivotField showAll="0"/>
    <pivotField showAll="0"/>
    <pivotField numFmtId="9" showAll="0"/>
    <pivotField numFmtId="2" showAll="0"/>
    <pivotField showAll="0"/>
  </pivotFields>
  <rowFields count="1">
    <field x="6"/>
  </rowFields>
  <rowItems count="11">
    <i>
      <x v="3"/>
    </i>
    <i>
      <x v="4"/>
    </i>
    <i>
      <x v="8"/>
    </i>
    <i>
      <x v="9"/>
    </i>
    <i>
      <x v="10"/>
    </i>
    <i>
      <x v="12"/>
    </i>
    <i>
      <x v="14"/>
    </i>
    <i>
      <x v="16"/>
    </i>
    <i>
      <x v="17"/>
    </i>
    <i>
      <x v="18"/>
    </i>
    <i t="grand">
      <x/>
    </i>
  </rowItems>
  <colItems count="1">
    <i/>
  </colItems>
  <dataFields count="1">
    <dataField name="Sum of Sales" fld="9" baseField="6" baseItem="0" numFmtId="1"/>
  </dataFields>
  <chartFormats count="40">
    <chartFormat chart="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6" count="1" selected="0">
            <x v="0"/>
          </reference>
        </references>
      </pivotArea>
    </chartFormat>
    <chartFormat chart="22" format="2">
      <pivotArea type="data" outline="0" fieldPosition="0">
        <references count="2">
          <reference field="4294967294" count="1" selected="0">
            <x v="0"/>
          </reference>
          <reference field="6" count="1" selected="0">
            <x v="3"/>
          </reference>
        </references>
      </pivotArea>
    </chartFormat>
    <chartFormat chart="22" format="3">
      <pivotArea type="data" outline="0" fieldPosition="0">
        <references count="2">
          <reference field="4294967294" count="1" selected="0">
            <x v="0"/>
          </reference>
          <reference field="6" count="1" selected="0">
            <x v="4"/>
          </reference>
        </references>
      </pivotArea>
    </chartFormat>
    <chartFormat chart="22" format="4">
      <pivotArea type="data" outline="0" fieldPosition="0">
        <references count="2">
          <reference field="4294967294" count="1" selected="0">
            <x v="0"/>
          </reference>
          <reference field="6" count="1" selected="0">
            <x v="7"/>
          </reference>
        </references>
      </pivotArea>
    </chartFormat>
    <chartFormat chart="22" format="5">
      <pivotArea type="data" outline="0" fieldPosition="0">
        <references count="2">
          <reference field="4294967294" count="1" selected="0">
            <x v="0"/>
          </reference>
          <reference field="6" count="1" selected="0">
            <x v="11"/>
          </reference>
        </references>
      </pivotArea>
    </chartFormat>
    <chartFormat chart="22" format="6">
      <pivotArea type="data" outline="0" fieldPosition="0">
        <references count="2">
          <reference field="4294967294" count="1" selected="0">
            <x v="0"/>
          </reference>
          <reference field="6" count="1" selected="0">
            <x v="12"/>
          </reference>
        </references>
      </pivotArea>
    </chartFormat>
    <chartFormat chart="22" format="7">
      <pivotArea type="data" outline="0" fieldPosition="0">
        <references count="2">
          <reference field="4294967294" count="1" selected="0">
            <x v="0"/>
          </reference>
          <reference field="6" count="1" selected="0">
            <x v="16"/>
          </reference>
        </references>
      </pivotArea>
    </chartFormat>
    <chartFormat chart="22" format="8">
      <pivotArea type="data" outline="0" fieldPosition="0">
        <references count="2">
          <reference field="4294967294" count="1" selected="0">
            <x v="0"/>
          </reference>
          <reference field="6" count="1" selected="0">
            <x v="17"/>
          </reference>
        </references>
      </pivotArea>
    </chartFormat>
    <chartFormat chart="22" format="9">
      <pivotArea type="data" outline="0" fieldPosition="0">
        <references count="2">
          <reference field="4294967294" count="1" selected="0">
            <x v="0"/>
          </reference>
          <reference field="6" count="1" selected="0">
            <x v="18"/>
          </reference>
        </references>
      </pivotArea>
    </chartFormat>
    <chartFormat chart="22" format="10">
      <pivotArea type="data" outline="0" fieldPosition="0">
        <references count="2">
          <reference field="4294967294" count="1" selected="0">
            <x v="0"/>
          </reference>
          <reference field="6" count="1" selected="0">
            <x v="19"/>
          </reference>
        </references>
      </pivotArea>
    </chartFormat>
    <chartFormat chart="28" format="22" series="1">
      <pivotArea type="data" outline="0" fieldPosition="0">
        <references count="1">
          <reference field="4294967294" count="1" selected="0">
            <x v="0"/>
          </reference>
        </references>
      </pivotArea>
    </chartFormat>
    <chartFormat chart="28" format="23">
      <pivotArea type="data" outline="0" fieldPosition="0">
        <references count="2">
          <reference field="4294967294" count="1" selected="0">
            <x v="0"/>
          </reference>
          <reference field="6" count="1" selected="0">
            <x v="0"/>
          </reference>
        </references>
      </pivotArea>
    </chartFormat>
    <chartFormat chart="28" format="24">
      <pivotArea type="data" outline="0" fieldPosition="0">
        <references count="2">
          <reference field="4294967294" count="1" selected="0">
            <x v="0"/>
          </reference>
          <reference field="6" count="1" selected="0">
            <x v="3"/>
          </reference>
        </references>
      </pivotArea>
    </chartFormat>
    <chartFormat chart="28" format="25">
      <pivotArea type="data" outline="0" fieldPosition="0">
        <references count="2">
          <reference field="4294967294" count="1" selected="0">
            <x v="0"/>
          </reference>
          <reference field="6" count="1" selected="0">
            <x v="4"/>
          </reference>
        </references>
      </pivotArea>
    </chartFormat>
    <chartFormat chart="28" format="26">
      <pivotArea type="data" outline="0" fieldPosition="0">
        <references count="2">
          <reference field="4294967294" count="1" selected="0">
            <x v="0"/>
          </reference>
          <reference field="6" count="1" selected="0">
            <x v="7"/>
          </reference>
        </references>
      </pivotArea>
    </chartFormat>
    <chartFormat chart="28" format="27">
      <pivotArea type="data" outline="0" fieldPosition="0">
        <references count="2">
          <reference field="4294967294" count="1" selected="0">
            <x v="0"/>
          </reference>
          <reference field="6" count="1" selected="0">
            <x v="11"/>
          </reference>
        </references>
      </pivotArea>
    </chartFormat>
    <chartFormat chart="28" format="28">
      <pivotArea type="data" outline="0" fieldPosition="0">
        <references count="2">
          <reference field="4294967294" count="1" selected="0">
            <x v="0"/>
          </reference>
          <reference field="6" count="1" selected="0">
            <x v="12"/>
          </reference>
        </references>
      </pivotArea>
    </chartFormat>
    <chartFormat chart="28" format="29">
      <pivotArea type="data" outline="0" fieldPosition="0">
        <references count="2">
          <reference field="4294967294" count="1" selected="0">
            <x v="0"/>
          </reference>
          <reference field="6" count="1" selected="0">
            <x v="16"/>
          </reference>
        </references>
      </pivotArea>
    </chartFormat>
    <chartFormat chart="28" format="30">
      <pivotArea type="data" outline="0" fieldPosition="0">
        <references count="2">
          <reference field="4294967294" count="1" selected="0">
            <x v="0"/>
          </reference>
          <reference field="6" count="1" selected="0">
            <x v="17"/>
          </reference>
        </references>
      </pivotArea>
    </chartFormat>
    <chartFormat chart="28" format="31">
      <pivotArea type="data" outline="0" fieldPosition="0">
        <references count="2">
          <reference field="4294967294" count="1" selected="0">
            <x v="0"/>
          </reference>
          <reference field="6" count="1" selected="0">
            <x v="18"/>
          </reference>
        </references>
      </pivotArea>
    </chartFormat>
    <chartFormat chart="28" format="32">
      <pivotArea type="data" outline="0" fieldPosition="0">
        <references count="2">
          <reference field="4294967294" count="1" selected="0">
            <x v="0"/>
          </reference>
          <reference field="6" count="1" selected="0">
            <x v="19"/>
          </reference>
        </references>
      </pivotArea>
    </chartFormat>
    <chartFormat chart="28" format="33">
      <pivotArea type="data" outline="0" fieldPosition="0">
        <references count="2">
          <reference field="4294967294" count="1" selected="0">
            <x v="0"/>
          </reference>
          <reference field="6" count="1" selected="0">
            <x v="8"/>
          </reference>
        </references>
      </pivotArea>
    </chartFormat>
    <chartFormat chart="22" format="11">
      <pivotArea type="data" outline="0" fieldPosition="0">
        <references count="2">
          <reference field="4294967294" count="1" selected="0">
            <x v="0"/>
          </reference>
          <reference field="6" count="1" selected="0">
            <x v="8"/>
          </reference>
        </references>
      </pivotArea>
    </chartFormat>
    <chartFormat chart="28" format="34">
      <pivotArea type="data" outline="0" fieldPosition="0">
        <references count="2">
          <reference field="4294967294" count="1" selected="0">
            <x v="0"/>
          </reference>
          <reference field="6" count="1" selected="0">
            <x v="9"/>
          </reference>
        </references>
      </pivotArea>
    </chartFormat>
    <chartFormat chart="28" format="35">
      <pivotArea type="data" outline="0" fieldPosition="0">
        <references count="2">
          <reference field="4294967294" count="1" selected="0">
            <x v="0"/>
          </reference>
          <reference field="6" count="1" selected="0">
            <x v="10"/>
          </reference>
        </references>
      </pivotArea>
    </chartFormat>
    <chartFormat chart="28" format="36">
      <pivotArea type="data" outline="0" fieldPosition="0">
        <references count="2">
          <reference field="4294967294" count="1" selected="0">
            <x v="0"/>
          </reference>
          <reference field="6" count="1" selected="0">
            <x v="14"/>
          </reference>
        </references>
      </pivotArea>
    </chartFormat>
    <chartFormat chart="22" format="12">
      <pivotArea type="data" outline="0" fieldPosition="0">
        <references count="2">
          <reference field="4294967294" count="1" selected="0">
            <x v="0"/>
          </reference>
          <reference field="6" count="1" selected="0">
            <x v="1"/>
          </reference>
        </references>
      </pivotArea>
    </chartFormat>
    <chartFormat chart="22" format="13">
      <pivotArea type="data" outline="0" fieldPosition="0">
        <references count="2">
          <reference field="4294967294" count="1" selected="0">
            <x v="0"/>
          </reference>
          <reference field="6" count="1" selected="0">
            <x v="5"/>
          </reference>
        </references>
      </pivotArea>
    </chartFormat>
    <chartFormat chart="22" format="14">
      <pivotArea type="data" outline="0" fieldPosition="0">
        <references count="2">
          <reference field="4294967294" count="1" selected="0">
            <x v="0"/>
          </reference>
          <reference field="6" count="1" selected="0">
            <x v="6"/>
          </reference>
        </references>
      </pivotArea>
    </chartFormat>
    <chartFormat chart="22" format="15">
      <pivotArea type="data" outline="0" fieldPosition="0">
        <references count="2">
          <reference field="4294967294" count="1" selected="0">
            <x v="0"/>
          </reference>
          <reference field="6" count="1" selected="0">
            <x v="10"/>
          </reference>
        </references>
      </pivotArea>
    </chartFormat>
    <chartFormat chart="22" format="16">
      <pivotArea type="data" outline="0" fieldPosition="0">
        <references count="2">
          <reference field="4294967294" count="1" selected="0">
            <x v="0"/>
          </reference>
          <reference field="6" count="1" selected="0">
            <x v="13"/>
          </reference>
        </references>
      </pivotArea>
    </chartFormat>
    <chartFormat chart="22" format="17">
      <pivotArea type="data" outline="0" fieldPosition="0">
        <references count="2">
          <reference field="4294967294" count="1" selected="0">
            <x v="0"/>
          </reference>
          <reference field="6" count="1" selected="0">
            <x v="15"/>
          </reference>
        </references>
      </pivotArea>
    </chartFormat>
    <chartFormat chart="28" format="37">
      <pivotArea type="data" outline="0" fieldPosition="0">
        <references count="2">
          <reference field="4294967294" count="1" selected="0">
            <x v="0"/>
          </reference>
          <reference field="6" count="1" selected="0">
            <x v="1"/>
          </reference>
        </references>
      </pivotArea>
    </chartFormat>
    <chartFormat chart="28" format="38">
      <pivotArea type="data" outline="0" fieldPosition="0">
        <references count="2">
          <reference field="4294967294" count="1" selected="0">
            <x v="0"/>
          </reference>
          <reference field="6" count="1" selected="0">
            <x v="5"/>
          </reference>
        </references>
      </pivotArea>
    </chartFormat>
    <chartFormat chart="28" format="39">
      <pivotArea type="data" outline="0" fieldPosition="0">
        <references count="2">
          <reference field="4294967294" count="1" selected="0">
            <x v="0"/>
          </reference>
          <reference field="6" count="1" selected="0">
            <x v="6"/>
          </reference>
        </references>
      </pivotArea>
    </chartFormat>
    <chartFormat chart="28" format="40">
      <pivotArea type="data" outline="0" fieldPosition="0">
        <references count="2">
          <reference field="4294967294" count="1" selected="0">
            <x v="0"/>
          </reference>
          <reference field="6" count="1" selected="0">
            <x v="13"/>
          </reference>
        </references>
      </pivotArea>
    </chartFormat>
    <chartFormat chart="28" format="41">
      <pivotArea type="data" outline="0" fieldPosition="0">
        <references count="2">
          <reference field="4294967294" count="1" selected="0">
            <x v="0"/>
          </reference>
          <reference field="6" count="1" selected="0">
            <x v="15"/>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5EB73D-E19F-4E4B-96BB-8A4E7E2B40C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3:N5" firstHeaderRow="0" firstDataRow="1" firstDataCol="1"/>
  <pivotFields count="18">
    <pivotField showAll="0"/>
    <pivotField numFmtId="164" showAll="0"/>
    <pivotField showAll="0"/>
    <pivotField showAll="0"/>
    <pivotField axis="axisRow" showAll="0">
      <items count="5">
        <item x="2"/>
        <item h="1" x="0"/>
        <item h="1" x="3"/>
        <item h="1" x="1"/>
        <item t="default"/>
      </items>
    </pivotField>
    <pivotField showAll="0"/>
    <pivotField showAll="0"/>
    <pivotField numFmtId="1" showAll="0"/>
    <pivotField numFmtId="2" showAll="0"/>
    <pivotField dataField="1" numFmtId="2" showAll="0"/>
    <pivotField numFmtId="2" showAll="0"/>
    <pivotField dataField="1" numFmtId="2" showAll="0"/>
    <pivotField showAll="0"/>
    <pivotField showAll="0"/>
    <pivotField showAll="0"/>
    <pivotField numFmtId="9" showAll="0"/>
    <pivotField numFmtId="2" showAll="0"/>
    <pivotField showAll="0"/>
  </pivotFields>
  <rowFields count="1">
    <field x="4"/>
  </rowFields>
  <rowItems count="2">
    <i>
      <x/>
    </i>
    <i t="grand">
      <x/>
    </i>
  </rowItems>
  <colFields count="1">
    <field x="-2"/>
  </colFields>
  <colItems count="2">
    <i>
      <x/>
    </i>
    <i i="1">
      <x v="1"/>
    </i>
  </colItems>
  <dataFields count="2">
    <dataField name="Sum of Sales" fld="9" baseField="4" baseItem="0" numFmtId="1"/>
    <dataField name="Sum of Profit" fld="11" baseField="4" baseItem="2" numFmtId="1"/>
  </dataField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BF9B77-992D-440C-9744-2DB9CFCEEE9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W3:Z8" firstHeaderRow="0" firstDataRow="1" firstDataCol="1" rowPageCount="1" colPageCount="1"/>
  <pivotFields count="18">
    <pivotField showAll="0"/>
    <pivotField numFmtId="164" showAll="0"/>
    <pivotField axis="axisRow" showAll="0" measureFilter="1">
      <items count="201">
        <item x="56"/>
        <item x="32"/>
        <item x="65"/>
        <item x="37"/>
        <item x="120"/>
        <item x="17"/>
        <item x="114"/>
        <item x="189"/>
        <item x="156"/>
        <item x="151"/>
        <item x="166"/>
        <item x="163"/>
        <item x="62"/>
        <item x="39"/>
        <item x="124"/>
        <item x="48"/>
        <item x="141"/>
        <item x="14"/>
        <item x="47"/>
        <item x="27"/>
        <item x="155"/>
        <item x="34"/>
        <item x="70"/>
        <item x="177"/>
        <item x="134"/>
        <item x="97"/>
        <item x="132"/>
        <item x="77"/>
        <item x="95"/>
        <item x="64"/>
        <item x="66"/>
        <item x="137"/>
        <item x="98"/>
        <item x="117"/>
        <item x="106"/>
        <item x="9"/>
        <item x="51"/>
        <item x="140"/>
        <item x="172"/>
        <item x="181"/>
        <item x="170"/>
        <item x="179"/>
        <item x="96"/>
        <item x="136"/>
        <item x="112"/>
        <item x="8"/>
        <item x="135"/>
        <item x="100"/>
        <item x="131"/>
        <item x="87"/>
        <item x="19"/>
        <item x="16"/>
        <item x="74"/>
        <item x="133"/>
        <item x="174"/>
        <item x="161"/>
        <item x="44"/>
        <item x="26"/>
        <item x="60"/>
        <item x="116"/>
        <item x="191"/>
        <item x="72"/>
        <item x="68"/>
        <item x="2"/>
        <item x="158"/>
        <item x="113"/>
        <item x="84"/>
        <item x="30"/>
        <item x="115"/>
        <item x="110"/>
        <item x="123"/>
        <item x="88"/>
        <item x="111"/>
        <item x="128"/>
        <item x="63"/>
        <item x="54"/>
        <item x="61"/>
        <item x="22"/>
        <item x="13"/>
        <item x="20"/>
        <item x="184"/>
        <item x="175"/>
        <item x="80"/>
        <item x="122"/>
        <item x="42"/>
        <item x="41"/>
        <item x="81"/>
        <item x="29"/>
        <item x="185"/>
        <item x="176"/>
        <item x="92"/>
        <item x="182"/>
        <item x="0"/>
        <item x="186"/>
        <item x="127"/>
        <item x="196"/>
        <item x="55"/>
        <item x="197"/>
        <item x="28"/>
        <item x="12"/>
        <item x="178"/>
        <item x="71"/>
        <item x="190"/>
        <item x="59"/>
        <item x="15"/>
        <item x="192"/>
        <item x="157"/>
        <item x="3"/>
        <item x="162"/>
        <item x="31"/>
        <item x="25"/>
        <item x="108"/>
        <item x="58"/>
        <item x="193"/>
        <item x="121"/>
        <item x="10"/>
        <item x="168"/>
        <item x="99"/>
        <item x="187"/>
        <item x="109"/>
        <item x="1"/>
        <item x="130"/>
        <item x="180"/>
        <item x="40"/>
        <item x="150"/>
        <item x="24"/>
        <item x="93"/>
        <item x="102"/>
        <item x="89"/>
        <item x="36"/>
        <item x="33"/>
        <item x="5"/>
        <item x="173"/>
        <item x="6"/>
        <item x="94"/>
        <item x="23"/>
        <item x="86"/>
        <item x="195"/>
        <item x="144"/>
        <item x="169"/>
        <item x="78"/>
        <item x="107"/>
        <item x="52"/>
        <item x="143"/>
        <item x="148"/>
        <item x="129"/>
        <item x="11"/>
        <item x="188"/>
        <item x="73"/>
        <item x="18"/>
        <item x="85"/>
        <item x="152"/>
        <item x="139"/>
        <item x="46"/>
        <item x="7"/>
        <item x="146"/>
        <item x="101"/>
        <item x="83"/>
        <item x="79"/>
        <item x="90"/>
        <item x="198"/>
        <item x="53"/>
        <item x="49"/>
        <item x="76"/>
        <item x="199"/>
        <item x="45"/>
        <item x="57"/>
        <item x="167"/>
        <item x="4"/>
        <item x="82"/>
        <item x="165"/>
        <item x="91"/>
        <item x="104"/>
        <item x="159"/>
        <item x="35"/>
        <item x="171"/>
        <item x="105"/>
        <item x="153"/>
        <item x="21"/>
        <item x="149"/>
        <item x="164"/>
        <item x="160"/>
        <item x="69"/>
        <item x="183"/>
        <item x="138"/>
        <item x="145"/>
        <item x="67"/>
        <item x="38"/>
        <item x="103"/>
        <item x="147"/>
        <item x="142"/>
        <item x="126"/>
        <item x="154"/>
        <item x="43"/>
        <item x="119"/>
        <item x="50"/>
        <item x="118"/>
        <item x="75"/>
        <item x="194"/>
        <item x="125"/>
        <item t="default"/>
      </items>
    </pivotField>
    <pivotField showAll="0"/>
    <pivotField showAll="0">
      <items count="5">
        <item x="2"/>
        <item h="1" x="0"/>
        <item h="1" x="3"/>
        <item h="1" x="1"/>
        <item t="default"/>
      </items>
    </pivotField>
    <pivotField showAll="0"/>
    <pivotField showAll="0"/>
    <pivotField dataField="1" numFmtId="1" showAll="0"/>
    <pivotField numFmtId="2" showAll="0"/>
    <pivotField dataField="1" numFmtId="2" showAll="0"/>
    <pivotField numFmtId="2" showAll="0"/>
    <pivotField dataField="1" numFmtId="2" showAll="0"/>
    <pivotField showAll="0"/>
    <pivotField showAll="0"/>
    <pivotField showAll="0"/>
    <pivotField numFmtId="9" showAll="0"/>
    <pivotField numFmtId="2" showAll="0"/>
    <pivotField axis="axisPage" showAll="0">
      <items count="3">
        <item x="1"/>
        <item x="0"/>
        <item t="default"/>
      </items>
    </pivotField>
  </pivotFields>
  <rowFields count="1">
    <field x="2"/>
  </rowFields>
  <rowItems count="5">
    <i>
      <x v="36"/>
    </i>
    <i>
      <x v="63"/>
    </i>
    <i>
      <x v="82"/>
    </i>
    <i>
      <x v="153"/>
    </i>
    <i t="grand">
      <x/>
    </i>
  </rowItems>
  <colFields count="1">
    <field x="-2"/>
  </colFields>
  <colItems count="3">
    <i>
      <x/>
    </i>
    <i i="1">
      <x v="1"/>
    </i>
    <i i="2">
      <x v="2"/>
    </i>
  </colItems>
  <pageFields count="1">
    <pageField fld="17" hier="-1"/>
  </pageFields>
  <dataFields count="3">
    <dataField name="Sum of Profit" fld="11" baseField="2" baseItem="0" numFmtId="1"/>
    <dataField name="Sum of Sales" fld="9" baseField="2" baseItem="0" numFmtId="1"/>
    <dataField name="Sum of Quantity" fld="7" baseField="0"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valueGreaterThan" evalOrder="-1" id="1" iMeasureFld="0">
      <autoFilter ref="A1">
        <filterColumn colId="0">
          <customFilters>
            <customFilter operator="greaterThan" val="1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44B4C0-225A-4A6C-A3F9-4CD76A54A05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H14:AI20" firstHeaderRow="1" firstDataRow="1" firstDataCol="1"/>
  <pivotFields count="18">
    <pivotField showAll="0"/>
    <pivotField numFmtId="164" showAll="0"/>
    <pivotField showAll="0"/>
    <pivotField showAll="0"/>
    <pivotField showAll="0">
      <items count="5">
        <item x="2"/>
        <item h="1" x="0"/>
        <item h="1" x="3"/>
        <item h="1" x="1"/>
        <item t="default"/>
      </items>
    </pivotField>
    <pivotField axis="axisRow" showAll="0">
      <items count="6">
        <item x="2"/>
        <item x="1"/>
        <item x="3"/>
        <item x="0"/>
        <item x="4"/>
        <item t="default"/>
      </items>
    </pivotField>
    <pivotField showAll="0"/>
    <pivotField numFmtId="1" showAll="0"/>
    <pivotField numFmtId="2" showAll="0"/>
    <pivotField numFmtId="2" showAll="0"/>
    <pivotField numFmtId="2" showAll="0"/>
    <pivotField dataField="1" numFmtId="2" showAll="0"/>
    <pivotField showAll="0"/>
    <pivotField showAll="0"/>
    <pivotField showAll="0"/>
    <pivotField numFmtId="9" showAll="0"/>
    <pivotField numFmtId="2" showAll="0"/>
    <pivotField showAll="0"/>
  </pivotFields>
  <rowFields count="1">
    <field x="5"/>
  </rowFields>
  <rowItems count="6">
    <i>
      <x/>
    </i>
    <i>
      <x v="1"/>
    </i>
    <i>
      <x v="2"/>
    </i>
    <i>
      <x v="3"/>
    </i>
    <i>
      <x v="4"/>
    </i>
    <i t="grand">
      <x/>
    </i>
  </rowItems>
  <colItems count="1">
    <i/>
  </colItems>
  <dataFields count="1">
    <dataField name="Sum of Profit" fld="11" baseField="0" baseItem="0" numFmtId="2"/>
  </dataFields>
  <chartFormats count="18">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5" count="1" selected="0">
            <x v="0"/>
          </reference>
        </references>
      </pivotArea>
    </chartFormat>
    <chartFormat chart="11" format="9">
      <pivotArea type="data" outline="0" fieldPosition="0">
        <references count="2">
          <reference field="4294967294" count="1" selected="0">
            <x v="0"/>
          </reference>
          <reference field="5" count="1" selected="0">
            <x v="1"/>
          </reference>
        </references>
      </pivotArea>
    </chartFormat>
    <chartFormat chart="11" format="10">
      <pivotArea type="data" outline="0" fieldPosition="0">
        <references count="2">
          <reference field="4294967294" count="1" selected="0">
            <x v="0"/>
          </reference>
          <reference field="5" count="1" selected="0">
            <x v="2"/>
          </reference>
        </references>
      </pivotArea>
    </chartFormat>
    <chartFormat chart="11" format="11">
      <pivotArea type="data" outline="0" fieldPosition="0">
        <references count="2">
          <reference field="4294967294" count="1" selected="0">
            <x v="0"/>
          </reference>
          <reference field="5" count="1" selected="0">
            <x v="3"/>
          </reference>
        </references>
      </pivotArea>
    </chartFormat>
    <chartFormat chart="11" format="12">
      <pivotArea type="data" outline="0" fieldPosition="0">
        <references count="2">
          <reference field="4294967294" count="1" selected="0">
            <x v="0"/>
          </reference>
          <reference field="5" count="1" selected="0">
            <x v="4"/>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 chart="4" format="4">
      <pivotArea type="data" outline="0" fieldPosition="0">
        <references count="2">
          <reference field="4294967294" count="1" selected="0">
            <x v="0"/>
          </reference>
          <reference field="5" count="1" selected="0">
            <x v="3"/>
          </reference>
        </references>
      </pivotArea>
    </chartFormat>
    <chartFormat chart="4"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157621-A21C-46C7-86A7-6F7BC479126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C14:AD35" firstHeaderRow="1" firstDataRow="1" firstDataCol="1"/>
  <pivotFields count="18">
    <pivotField showAll="0"/>
    <pivotField numFmtId="164" showAll="0"/>
    <pivotField showAll="0"/>
    <pivotField showAll="0"/>
    <pivotField showAll="0">
      <items count="5">
        <item x="2"/>
        <item h="1" x="0"/>
        <item h="1" x="3"/>
        <item h="1" x="1"/>
        <item t="default"/>
      </items>
    </pivotField>
    <pivotField showAll="0"/>
    <pivotField axis="axisRow" showAll="0">
      <items count="21">
        <item x="11"/>
        <item x="10"/>
        <item x="14"/>
        <item x="15"/>
        <item x="9"/>
        <item x="8"/>
        <item x="17"/>
        <item x="5"/>
        <item x="6"/>
        <item x="3"/>
        <item x="19"/>
        <item x="13"/>
        <item x="18"/>
        <item x="7"/>
        <item x="4"/>
        <item x="12"/>
        <item x="16"/>
        <item x="2"/>
        <item x="1"/>
        <item x="0"/>
        <item t="default"/>
      </items>
    </pivotField>
    <pivotField numFmtId="1" showAll="0"/>
    <pivotField numFmtId="2" showAll="0"/>
    <pivotField numFmtId="2" showAll="0"/>
    <pivotField numFmtId="2" showAll="0"/>
    <pivotField numFmtId="2" showAll="0"/>
    <pivotField showAll="0"/>
    <pivotField showAll="0"/>
    <pivotField showAll="0"/>
    <pivotField numFmtId="9" showAll="0"/>
    <pivotField numFmtId="2" showAll="0"/>
    <pivotField dataField="1"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High_Profit" fld="17"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18B290-E40C-4A39-9352-0B183CA6AD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8" firstHeaderRow="1" firstDataRow="1" firstDataCol="1"/>
  <pivotFields count="11">
    <pivotField showAll="0"/>
    <pivotField showAll="0"/>
    <pivotField numFmtId="164" showAll="0"/>
    <pivotField numFmtId="164" showAll="0"/>
    <pivotField showAll="0"/>
    <pivotField dataField="1" numFmtId="1" showAll="0"/>
    <pivotField numFmtId="1" showAll="0"/>
    <pivotField numFmtId="2" showAll="0"/>
    <pivotField numFmtId="1" showAll="0"/>
    <pivotField numFmtId="9" showAll="0"/>
    <pivotField axis="axisRow" showAll="0">
      <items count="15">
        <item x="3"/>
        <item x="1"/>
        <item x="13"/>
        <item x="11"/>
        <item x="9"/>
        <item x="8"/>
        <item x="7"/>
        <item x="5"/>
        <item x="6"/>
        <item x="10"/>
        <item x="0"/>
        <item x="4"/>
        <item x="12"/>
        <item x="2"/>
        <item t="default"/>
      </items>
    </pivotField>
  </pivotFields>
  <rowFields count="1">
    <field x="10"/>
  </rowFields>
  <rowItems count="15">
    <i>
      <x/>
    </i>
    <i>
      <x v="1"/>
    </i>
    <i>
      <x v="2"/>
    </i>
    <i>
      <x v="3"/>
    </i>
    <i>
      <x v="4"/>
    </i>
    <i>
      <x v="5"/>
    </i>
    <i>
      <x v="6"/>
    </i>
    <i>
      <x v="7"/>
    </i>
    <i>
      <x v="8"/>
    </i>
    <i>
      <x v="9"/>
    </i>
    <i>
      <x v="10"/>
    </i>
    <i>
      <x v="11"/>
    </i>
    <i>
      <x v="12"/>
    </i>
    <i>
      <x v="13"/>
    </i>
    <i t="grand">
      <x/>
    </i>
  </rowItems>
  <colItems count="1">
    <i/>
  </colItems>
  <dataFields count="1">
    <dataField name="Sum of Quantity_Returned" fld="5" baseField="0" baseItem="0" numFmtId="1"/>
  </dataFields>
  <chartFormats count="3">
    <chartFormat chart="3"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1BCE81-3F9E-4E07-BAD9-67AFF0ED20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5" firstHeaderRow="1" firstDataRow="1" firstDataCol="1"/>
  <pivotFields count="11">
    <pivotField showAll="0"/>
    <pivotField showAll="0"/>
    <pivotField numFmtId="164" showAll="0"/>
    <pivotField numFmtId="164" showAll="0"/>
    <pivotField axis="axisRow" showAll="0">
      <items count="6">
        <item h="1" x="1"/>
        <item h="1" x="2"/>
        <item h="1" x="3"/>
        <item x="4"/>
        <item h="1" x="0"/>
        <item t="default"/>
      </items>
    </pivotField>
    <pivotField numFmtId="1" showAll="0"/>
    <pivotField dataField="1" numFmtId="1" showAll="0"/>
    <pivotField numFmtId="2" showAll="0"/>
    <pivotField numFmtId="1" showAll="0"/>
    <pivotField numFmtId="9" showAll="0"/>
    <pivotField showAll="0"/>
  </pivotFields>
  <rowFields count="1">
    <field x="4"/>
  </rowFields>
  <rowItems count="2">
    <i>
      <x v="3"/>
    </i>
    <i t="grand">
      <x/>
    </i>
  </rowItems>
  <colItems count="1">
    <i/>
  </colItems>
  <dataFields count="1">
    <dataField name="Sum of Refund_Amount" fld="6" baseField="0" baseItem="0" numFmtId="1"/>
  </dataFields>
  <chartFormats count="1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 chart="8" format="5">
      <pivotArea type="data" outline="0" fieldPosition="0">
        <references count="2">
          <reference field="4294967294" count="1" selected="0">
            <x v="0"/>
          </reference>
          <reference field="4" count="1" selected="0">
            <x v="4"/>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4" count="1" selected="0">
            <x v="0"/>
          </reference>
        </references>
      </pivotArea>
    </chartFormat>
    <chartFormat chart="15" format="8">
      <pivotArea type="data" outline="0" fieldPosition="0">
        <references count="2">
          <reference field="4294967294" count="1" selected="0">
            <x v="0"/>
          </reference>
          <reference field="4" count="1" selected="0">
            <x v="1"/>
          </reference>
        </references>
      </pivotArea>
    </chartFormat>
    <chartFormat chart="15" format="9">
      <pivotArea type="data" outline="0" fieldPosition="0">
        <references count="2">
          <reference field="4294967294" count="1" selected="0">
            <x v="0"/>
          </reference>
          <reference field="4" count="1" selected="0">
            <x v="2"/>
          </reference>
        </references>
      </pivotArea>
    </chartFormat>
    <chartFormat chart="15" format="10">
      <pivotArea type="data" outline="0" fieldPosition="0">
        <references count="2">
          <reference field="4294967294" count="1" selected="0">
            <x v="0"/>
          </reference>
          <reference field="4" count="1" selected="0">
            <x v="3"/>
          </reference>
        </references>
      </pivotArea>
    </chartFormat>
    <chartFormat chart="15" format="11">
      <pivotArea type="data" outline="0" fieldPosition="0">
        <references count="2">
          <reference field="4294967294" count="1" selected="0">
            <x v="0"/>
          </reference>
          <reference field="4" count="1" selected="0">
            <x v="4"/>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4" count="1" selected="0">
            <x v="0"/>
          </reference>
        </references>
      </pivotArea>
    </chartFormat>
    <chartFormat chart="18" format="14">
      <pivotArea type="data" outline="0" fieldPosition="0">
        <references count="2">
          <reference field="4294967294" count="1" selected="0">
            <x v="0"/>
          </reference>
          <reference field="4" count="1" selected="0">
            <x v="1"/>
          </reference>
        </references>
      </pivotArea>
    </chartFormat>
    <chartFormat chart="18" format="15">
      <pivotArea type="data" outline="0" fieldPosition="0">
        <references count="2">
          <reference field="4294967294" count="1" selected="0">
            <x v="0"/>
          </reference>
          <reference field="4" count="1" selected="0">
            <x v="2"/>
          </reference>
        </references>
      </pivotArea>
    </chartFormat>
    <chartFormat chart="18" format="16">
      <pivotArea type="data" outline="0" fieldPosition="0">
        <references count="2">
          <reference field="4294967294" count="1" selected="0">
            <x v="0"/>
          </reference>
          <reference field="4" count="1" selected="0">
            <x v="3"/>
          </reference>
        </references>
      </pivotArea>
    </chartFormat>
    <chartFormat chart="18"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Reason" xr10:uid="{183C6B3E-DD7D-4677-B2D3-BBAF24627540}" sourceName="Return_Reason">
  <pivotTables>
    <pivotTable tabId="13" name="PivotTable2"/>
  </pivotTables>
  <data>
    <tabular pivotCacheId="81856009">
      <items count="5">
        <i x="1"/>
        <i x="2"/>
        <i x="3"/>
        <i x="4"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DC41BE1-7E5E-414A-BFB4-D4DCE459E26D}" sourceName="Region">
  <pivotTables>
    <pivotTable tabId="9" name="PivotTable4"/>
    <pivotTable tabId="9" name="PivotTable2"/>
    <pivotTable tabId="9" name="PivotTable3"/>
    <pivotTable tabId="9" name="PivotTable5"/>
    <pivotTable tabId="9" name="PivotTable6"/>
    <pivotTable tabId="9" name="PivotTable7"/>
    <pivotTable tabId="9" name="PivotTable8"/>
  </pivotTables>
  <data>
    <tabular pivotCacheId="1949494277">
      <items count="4">
        <i x="2" s="1"/>
        <i x="0"/>
        <i x="3"/>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D608F5E-7B7F-4F8F-BA28-8C420C507658}" sourceName="Product">
  <pivotTables>
    <pivotTable tabId="9" name="PivotTable2"/>
  </pivotTables>
  <data>
    <tabular pivotCacheId="1949494277">
      <items count="20">
        <i x="11" s="1"/>
        <i x="14" s="1"/>
        <i x="13" s="1"/>
        <i x="2" s="1"/>
        <i x="10" s="1" nd="1"/>
        <i x="15" s="1" nd="1"/>
        <i x="9" s="1" nd="1"/>
        <i x="8" s="1" nd="1"/>
        <i x="17" s="1" nd="1"/>
        <i x="5" s="1" nd="1"/>
        <i x="6" s="1" nd="1"/>
        <i x="3" s="1" nd="1"/>
        <i x="19" s="1" nd="1"/>
        <i x="18" s="1" nd="1"/>
        <i x="7" s="1" nd="1"/>
        <i x="4" s="1" nd="1"/>
        <i x="12" s="1" nd="1"/>
        <i x="16" s="1" nd="1"/>
        <i x="1"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94D5A75-12D7-45EC-B726-D19AA935DCA8}" sourceName="Category">
  <pivotTables>
    <pivotTable tabId="9" name="PivotTable2"/>
  </pivotTables>
  <data>
    <tabular pivotCacheId="1949494277">
      <items count="5">
        <i x="2" s="1"/>
        <i x="1"/>
        <i x="3"/>
        <i x="0"/>
        <i x="4"/>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26E322-6FBB-4C66-9EC2-639668C6B6C3}" sourceName="Region">
  <extLst>
    <x:ext xmlns:x15="http://schemas.microsoft.com/office/spreadsheetml/2010/11/main" uri="{2F2917AC-EB37-4324-AD4E-5DD8C200BD13}">
      <x15:tableSlicerCache tableId="1"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6A0E1B-B926-4C5B-AF6E-44F3181A068D}" sourceName="Category">
  <extLst>
    <x:ext xmlns:x15="http://schemas.microsoft.com/office/spreadsheetml/2010/11/main" uri="{2F2917AC-EB37-4324-AD4E-5DD8C200BD13}">
      <x15:tableSlicerCache tableId="1"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D1D78CA-9AD1-4BC0-BC40-3AA626EA5CD9}" sourceName="Product">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23265A-4AE8-4D4A-AA40-4993CF8526CB}" cache="Slicer_Region" caption="Region" rowHeight="241300"/>
  <slicer name="Category" xr10:uid="{62B45CA7-B39A-4423-BECF-A4AA5D829717}" cache="Slicer_Category" caption="Category" rowHeight="241300"/>
  <slicer name="Product" xr10:uid="{F4D9F49D-1411-474A-907B-7E6BEF40665B}"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78EB3EA-CDD9-450C-A616-80F721D01377}" cache="Slicer_Region1" caption="Region" rowHeight="241300"/>
  <slicer name="Product 1" xr10:uid="{D2D58FAB-8130-4A15-AFDF-9D45A0396DE6}" cache="Slicer_Product1" caption="Product" rowHeight="241300"/>
  <slicer name="Category 1" xr10:uid="{0BB2037A-DFEB-449E-8122-564DCCBE6CEE}" cache="Slicer_Category1"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Reason" xr10:uid="{979FF671-312F-43CC-857E-CFFFEEF24F1D}" cache="Slicer_Return_Reason" caption="Return_Reas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9AAD95C-9005-478B-85E3-5BE4BF911BB1}" cache="Slicer_Region1" caption="Region" rowHeight="241300"/>
  <slicer name="Product 2" xr10:uid="{EB665A69-0DE3-4DA1-BA48-226B2881DA18}" cache="Slicer_Product1" caption="Product" rowHeight="241300"/>
  <slicer name="Category 2" xr10:uid="{CBA660D2-F1FE-4C19-8EBD-A2D47EBD22EA}" cache="Slicer_Category1"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8590D1-E72B-4A0F-B3E8-0EAD7E192248}" name="Table1" displayName="Table1" ref="A1:R201" totalsRowShown="0" headerRowDxfId="24" headerRowBorderDxfId="23" tableBorderDxfId="22" totalsRowBorderDxfId="21">
  <autoFilter ref="A1:R201" xr:uid="{EE8590D1-E72B-4A0F-B3E8-0EAD7E192248}"/>
  <tableColumns count="18">
    <tableColumn id="1" xr3:uid="{98220AA3-0E9B-4D20-A229-9DCA0B56433E}" name="Order_ID" dataDxfId="20"/>
    <tableColumn id="2" xr3:uid="{6487538C-EB0B-47FB-8C7B-651F52B425F3}" name="Order_Date" dataDxfId="19"/>
    <tableColumn id="3" xr3:uid="{8D612812-C5E6-48DF-AB54-40E062BFA0E1}" name="Customer_Name" dataDxfId="18"/>
    <tableColumn id="4" xr3:uid="{C7D291B6-3156-464E-AC92-0A9AD2EC9AB8}" name="Customer_ID" dataDxfId="17"/>
    <tableColumn id="5" xr3:uid="{4C8BA0C8-B9B4-4CAC-A8CC-49283DEDE76E}" name="Region" dataDxfId="16"/>
    <tableColumn id="6" xr3:uid="{E17E609B-B7D8-4424-AD67-E8088CC19DC3}" name="Category" dataDxfId="15"/>
    <tableColumn id="7" xr3:uid="{102CD9A7-F029-4D64-8D7C-524DBAB8B4AD}" name="Product" dataDxfId="14"/>
    <tableColumn id="8" xr3:uid="{3AB119F1-7A67-4E8B-89AE-9C552B0C9C0A}" name="Quantity" dataDxfId="13"/>
    <tableColumn id="9" xr3:uid="{6E165B62-F9B0-4548-86F6-4E8BFCF5604C}" name="Unit_Price" dataDxfId="12"/>
    <tableColumn id="10" xr3:uid="{881301FC-F262-4097-8D56-44182AD9AC6C}" name="Sales" dataDxfId="11">
      <calculatedColumnFormula>H2*I2</calculatedColumnFormula>
    </tableColumn>
    <tableColumn id="11" xr3:uid="{9F7F3F28-46FA-4FC4-B4AE-ED922EDB9CC1}" name="Cost" dataDxfId="10"/>
    <tableColumn id="12" xr3:uid="{C664C881-A6BD-4B45-A70E-113D0C1BB0AA}" name="Profit" dataDxfId="9">
      <calculatedColumnFormula>J2-K2</calculatedColumnFormula>
    </tableColumn>
    <tableColumn id="13" xr3:uid="{72E47F5C-C4C1-4026-A5E4-DA3F40F1BF1A}" name="Month" dataDxfId="8">
      <calculatedColumnFormula>TEXT(B2,"MMM")</calculatedColumnFormula>
    </tableColumn>
    <tableColumn id="14" xr3:uid="{91187AEC-78BE-440A-99A6-E4DA45266D5F}" name="Year" dataDxfId="7">
      <calculatedColumnFormula>TEXT(B2,"YYYY")</calculatedColumnFormula>
    </tableColumn>
    <tableColumn id="15" xr3:uid="{9D5E81E9-9F74-4210-BA57-4AC3159EA94E}" name="Month_year" dataDxfId="6">
      <calculatedColumnFormula>TEXT(B2,"mmm-yyyy")</calculatedColumnFormula>
    </tableColumn>
    <tableColumn id="16" xr3:uid="{9EB66C7B-CC3C-4A2C-8B2D-9C1F972428C5}" name="Profit_margin " dataDxfId="5" dataCellStyle="Percent">
      <calculatedColumnFormula>IF(H2=0,0,(L2/J2))</calculatedColumnFormula>
    </tableColumn>
    <tableColumn id="17" xr3:uid="{2DAE6A55-7FFD-4766-8B58-2E0F9B72DF65}" name="Average_price" dataDxfId="4">
      <calculatedColumnFormula>J2/H2</calculatedColumnFormula>
    </tableColumn>
    <tableColumn id="19" xr3:uid="{13ABADCF-D38C-4992-AD21-E5C5F63E8DE8}" name="High_Profit" dataDxfId="3">
      <calculatedColumnFormula>IF(Table1[[#This Row],[Profit]]&gt;500,"Yes","No")</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C8DE66B-A354-484E-A812-8B30F959DC5F}">
  <we:reference id="wa200005502" version="1.0.0.11" store="en-US" storeType="OMEX"/>
  <we:alternateReferences>
    <we:reference id="wa200005502" version="1.0.0.11" store="wa200005502"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1"/>
  <sheetViews>
    <sheetView topLeftCell="E1" workbookViewId="0">
      <selection activeCell="D14" sqref="D14"/>
    </sheetView>
  </sheetViews>
  <sheetFormatPr defaultRowHeight="14.5" x14ac:dyDescent="0.35"/>
  <cols>
    <col min="1" max="1" width="10.54296875" style="3" customWidth="1"/>
    <col min="2" max="2" width="12.7265625" style="3" customWidth="1"/>
    <col min="3" max="3" width="18.08984375" style="2" bestFit="1" customWidth="1"/>
    <col min="4" max="5" width="18.08984375" style="2" customWidth="1"/>
    <col min="6" max="6" width="14.26953125" style="2" bestFit="1" customWidth="1"/>
    <col min="7" max="7" width="14.453125" style="2" bestFit="1" customWidth="1"/>
    <col min="8" max="8" width="10.1796875" style="5" customWidth="1"/>
    <col min="9" max="9" width="11.453125" style="3" customWidth="1"/>
    <col min="10" max="12" width="9.26953125" style="3" bestFit="1" customWidth="1"/>
    <col min="13" max="13" width="10.08984375" style="2" bestFit="1" customWidth="1"/>
    <col min="14" max="14" width="8.7265625" style="2"/>
    <col min="15" max="15" width="13.1796875" style="2" customWidth="1"/>
    <col min="16" max="16" width="14.81640625" style="2" customWidth="1"/>
    <col min="17" max="17" width="14.6328125" style="3" customWidth="1"/>
    <col min="18" max="18" width="14.81640625" style="2" bestFit="1" customWidth="1"/>
    <col min="19" max="19" width="8.7265625" style="2"/>
    <col min="20" max="20" width="16.08984375" style="2" bestFit="1" customWidth="1"/>
    <col min="21" max="21" width="12.26953125" style="2" customWidth="1"/>
    <col min="22" max="16384" width="8.7265625" style="2"/>
  </cols>
  <sheetData>
    <row r="1" spans="1:21" x14ac:dyDescent="0.35">
      <c r="A1" s="11" t="s">
        <v>0</v>
      </c>
      <c r="B1" s="12" t="s">
        <v>1</v>
      </c>
      <c r="C1" s="13" t="s">
        <v>441</v>
      </c>
      <c r="D1" s="12" t="s">
        <v>442</v>
      </c>
      <c r="E1" s="12" t="s">
        <v>2</v>
      </c>
      <c r="F1" s="14" t="s">
        <v>3</v>
      </c>
      <c r="G1" s="14" t="s">
        <v>4</v>
      </c>
      <c r="H1" s="15" t="s">
        <v>5</v>
      </c>
      <c r="I1" s="16" t="s">
        <v>6</v>
      </c>
      <c r="J1" s="16" t="s">
        <v>7</v>
      </c>
      <c r="K1" s="16" t="s">
        <v>8</v>
      </c>
      <c r="L1" s="17" t="s">
        <v>9</v>
      </c>
      <c r="M1" s="18" t="s">
        <v>443</v>
      </c>
      <c r="N1" s="18" t="s">
        <v>444</v>
      </c>
      <c r="O1" s="18" t="s">
        <v>445</v>
      </c>
      <c r="P1" s="18" t="s">
        <v>446</v>
      </c>
      <c r="Q1" s="19" t="s">
        <v>447</v>
      </c>
      <c r="R1" s="18" t="s">
        <v>476</v>
      </c>
    </row>
    <row r="2" spans="1:21" x14ac:dyDescent="0.35">
      <c r="A2" s="9" t="s">
        <v>339</v>
      </c>
      <c r="B2" s="4">
        <v>45856</v>
      </c>
      <c r="C2" s="2" t="s">
        <v>139</v>
      </c>
      <c r="D2" s="2">
        <v>9269</v>
      </c>
      <c r="E2" s="2" t="s">
        <v>24</v>
      </c>
      <c r="F2" s="2" t="s">
        <v>11</v>
      </c>
      <c r="G2" s="2" t="s">
        <v>18</v>
      </c>
      <c r="H2" s="5">
        <v>10</v>
      </c>
      <c r="I2" s="3">
        <v>462.14</v>
      </c>
      <c r="J2" s="3">
        <f t="shared" ref="J2:J33" si="0">H2*I2</f>
        <v>4621.3999999999996</v>
      </c>
      <c r="K2" s="3">
        <v>2802.3</v>
      </c>
      <c r="L2" s="3">
        <f t="shared" ref="L2:L33" si="1">J2-K2</f>
        <v>1819.0999999999995</v>
      </c>
      <c r="M2" s="4" t="str">
        <f t="shared" ref="M2:M33" si="2">TEXT(B2,"MMM")</f>
        <v>Jul</v>
      </c>
      <c r="N2" s="2" t="str">
        <f t="shared" ref="N2:N33" si="3">TEXT(B2,"YYYY")</f>
        <v>2025</v>
      </c>
      <c r="O2" s="2" t="str">
        <f t="shared" ref="O2:O33" si="4">TEXT(B2,"mmm-yyyy")</f>
        <v>Jul-2025</v>
      </c>
      <c r="P2" s="6">
        <f t="shared" ref="P2:P33" si="5">IF(H2=0,0,(L2/J2))</f>
        <v>0.39362530834811954</v>
      </c>
      <c r="Q2" s="3">
        <f t="shared" ref="Q2:Q33" si="6">J2/H2</f>
        <v>462.14</v>
      </c>
      <c r="R2" s="2" t="str">
        <f>IF(Table1[[#This Row],[Profit]]&gt;500,"Yes","No")</f>
        <v>Yes</v>
      </c>
    </row>
    <row r="3" spans="1:21" x14ac:dyDescent="0.35">
      <c r="A3" s="9" t="s">
        <v>364</v>
      </c>
      <c r="B3" s="4">
        <v>45854</v>
      </c>
      <c r="C3" s="2" t="s">
        <v>164</v>
      </c>
      <c r="D3" s="2">
        <v>2109</v>
      </c>
      <c r="E3" s="2" t="s">
        <v>17</v>
      </c>
      <c r="F3" s="2" t="s">
        <v>11</v>
      </c>
      <c r="G3" s="2" t="s">
        <v>18</v>
      </c>
      <c r="H3" s="5">
        <v>10</v>
      </c>
      <c r="I3" s="3">
        <v>411.72</v>
      </c>
      <c r="J3" s="3">
        <f t="shared" si="0"/>
        <v>4117.2000000000007</v>
      </c>
      <c r="K3" s="3">
        <v>2635.41</v>
      </c>
      <c r="L3" s="3">
        <f t="shared" si="1"/>
        <v>1481.7900000000009</v>
      </c>
      <c r="M3" s="4" t="str">
        <f t="shared" si="2"/>
        <v>Jul</v>
      </c>
      <c r="N3" s="2" t="str">
        <f t="shared" si="3"/>
        <v>2025</v>
      </c>
      <c r="O3" s="2" t="str">
        <f t="shared" si="4"/>
        <v>Jul-2025</v>
      </c>
      <c r="P3" s="6">
        <f t="shared" si="5"/>
        <v>0.35990236082774718</v>
      </c>
      <c r="Q3" s="3">
        <f t="shared" si="6"/>
        <v>411.72000000000008</v>
      </c>
      <c r="R3" s="2" t="str">
        <f>IF(Table1[[#This Row],[Profit]]&gt;500,"Yes","No")</f>
        <v>Yes</v>
      </c>
      <c r="T3" s="1" t="s">
        <v>466</v>
      </c>
      <c r="U3" s="3"/>
    </row>
    <row r="4" spans="1:21" x14ac:dyDescent="0.35">
      <c r="A4" s="9" t="s">
        <v>394</v>
      </c>
      <c r="B4" s="4">
        <v>45853</v>
      </c>
      <c r="C4" s="2" t="s">
        <v>194</v>
      </c>
      <c r="D4" s="2">
        <v>7974</v>
      </c>
      <c r="E4" s="2" t="s">
        <v>13</v>
      </c>
      <c r="F4" s="2" t="s">
        <v>22</v>
      </c>
      <c r="G4" s="2" t="s">
        <v>34</v>
      </c>
      <c r="H4" s="5">
        <v>10</v>
      </c>
      <c r="I4" s="3">
        <v>402.48</v>
      </c>
      <c r="J4" s="3">
        <f t="shared" si="0"/>
        <v>4024.8</v>
      </c>
      <c r="K4" s="3">
        <v>2890.64</v>
      </c>
      <c r="L4" s="3">
        <f t="shared" si="1"/>
        <v>1134.1600000000003</v>
      </c>
      <c r="M4" s="4" t="str">
        <f t="shared" si="2"/>
        <v>Jul</v>
      </c>
      <c r="N4" s="2" t="str">
        <f t="shared" si="3"/>
        <v>2025</v>
      </c>
      <c r="O4" s="2" t="str">
        <f t="shared" si="4"/>
        <v>Jul-2025</v>
      </c>
      <c r="P4" s="6">
        <f t="shared" si="5"/>
        <v>0.28179288411846559</v>
      </c>
      <c r="Q4" s="3">
        <f t="shared" si="6"/>
        <v>402.48</v>
      </c>
      <c r="R4" s="2" t="str">
        <f>IF(Table1[[#This Row],[Profit]]&gt;500,"Yes","No")</f>
        <v>Yes</v>
      </c>
      <c r="T4" s="5">
        <f>SUM(Table1[Sales])</f>
        <v>271441.54999999981</v>
      </c>
      <c r="U4" s="2" t="s">
        <v>492</v>
      </c>
    </row>
    <row r="5" spans="1:21" x14ac:dyDescent="0.35">
      <c r="A5" s="9" t="s">
        <v>340</v>
      </c>
      <c r="B5" s="4">
        <v>45850</v>
      </c>
      <c r="C5" s="2" t="s">
        <v>140</v>
      </c>
      <c r="D5" s="2">
        <v>7691</v>
      </c>
      <c r="E5" s="2" t="s">
        <v>13</v>
      </c>
      <c r="F5" s="2" t="s">
        <v>15</v>
      </c>
      <c r="G5" s="2" t="s">
        <v>19</v>
      </c>
      <c r="H5" s="5">
        <v>3</v>
      </c>
      <c r="I5" s="3">
        <v>315.20999999999998</v>
      </c>
      <c r="J5" s="3">
        <f t="shared" si="0"/>
        <v>945.62999999999988</v>
      </c>
      <c r="K5" s="3">
        <v>823.25</v>
      </c>
      <c r="L5" s="3">
        <f t="shared" si="1"/>
        <v>122.37999999999988</v>
      </c>
      <c r="M5" s="4" t="str">
        <f t="shared" si="2"/>
        <v>Jul</v>
      </c>
      <c r="N5" s="2" t="str">
        <f t="shared" si="3"/>
        <v>2025</v>
      </c>
      <c r="O5" s="2" t="str">
        <f t="shared" si="4"/>
        <v>Jul-2025</v>
      </c>
      <c r="P5" s="6">
        <f t="shared" si="5"/>
        <v>0.12941636792402939</v>
      </c>
      <c r="Q5" s="3">
        <f t="shared" si="6"/>
        <v>315.20999999999998</v>
      </c>
      <c r="R5" s="2" t="str">
        <f>IF(Table1[[#This Row],[Profit]]&gt;500,"Yes","No")</f>
        <v>No</v>
      </c>
    </row>
    <row r="6" spans="1:21" x14ac:dyDescent="0.35">
      <c r="A6" s="9" t="s">
        <v>281</v>
      </c>
      <c r="B6" s="4">
        <v>45848</v>
      </c>
      <c r="C6" s="2" t="s">
        <v>81</v>
      </c>
      <c r="D6" s="2">
        <v>6595</v>
      </c>
      <c r="E6" s="2" t="s">
        <v>17</v>
      </c>
      <c r="F6" s="2" t="s">
        <v>22</v>
      </c>
      <c r="G6" s="2" t="s">
        <v>34</v>
      </c>
      <c r="H6" s="5">
        <v>7</v>
      </c>
      <c r="I6" s="3">
        <v>209.74</v>
      </c>
      <c r="J6" s="3">
        <f t="shared" si="0"/>
        <v>1468.18</v>
      </c>
      <c r="K6" s="3">
        <v>1033.76</v>
      </c>
      <c r="L6" s="3">
        <f t="shared" si="1"/>
        <v>434.42000000000007</v>
      </c>
      <c r="M6" s="4" t="str">
        <f t="shared" si="2"/>
        <v>Jul</v>
      </c>
      <c r="N6" s="2" t="str">
        <f t="shared" si="3"/>
        <v>2025</v>
      </c>
      <c r="O6" s="2" t="str">
        <f t="shared" si="4"/>
        <v>Jul-2025</v>
      </c>
      <c r="P6" s="6">
        <f t="shared" si="5"/>
        <v>0.29589014970916377</v>
      </c>
      <c r="Q6" s="3">
        <f t="shared" si="6"/>
        <v>209.74</v>
      </c>
      <c r="R6" s="2" t="str">
        <f>IF(Table1[[#This Row],[Profit]]&gt;500,"Yes","No")</f>
        <v>No</v>
      </c>
      <c r="T6" s="2" t="s">
        <v>467</v>
      </c>
    </row>
    <row r="7" spans="1:21" x14ac:dyDescent="0.35">
      <c r="A7" s="9" t="s">
        <v>301</v>
      </c>
      <c r="B7" s="4">
        <v>45848</v>
      </c>
      <c r="C7" s="2" t="s">
        <v>101</v>
      </c>
      <c r="D7" s="2">
        <v>1021</v>
      </c>
      <c r="E7" s="2" t="s">
        <v>13</v>
      </c>
      <c r="F7" s="2" t="s">
        <v>25</v>
      </c>
      <c r="G7" s="2" t="s">
        <v>37</v>
      </c>
      <c r="H7" s="5">
        <v>5</v>
      </c>
      <c r="I7" s="3">
        <v>374.35</v>
      </c>
      <c r="J7" s="3">
        <f t="shared" si="0"/>
        <v>1871.75</v>
      </c>
      <c r="K7" s="3">
        <v>1460.42</v>
      </c>
      <c r="L7" s="3">
        <f t="shared" si="1"/>
        <v>411.32999999999993</v>
      </c>
      <c r="M7" s="4" t="str">
        <f t="shared" si="2"/>
        <v>Jul</v>
      </c>
      <c r="N7" s="2" t="str">
        <f t="shared" si="3"/>
        <v>2025</v>
      </c>
      <c r="O7" s="2" t="str">
        <f t="shared" si="4"/>
        <v>Jul-2025</v>
      </c>
      <c r="P7" s="6">
        <f t="shared" si="5"/>
        <v>0.21975691198076663</v>
      </c>
      <c r="Q7" s="3">
        <f t="shared" si="6"/>
        <v>374.35</v>
      </c>
      <c r="R7" s="2" t="str">
        <f>IF(Table1[[#This Row],[Profit]]&gt;500,"Yes","No")</f>
        <v>No</v>
      </c>
      <c r="T7" s="5">
        <f>SUM(Table1[Profit])</f>
        <v>67785.820000000022</v>
      </c>
      <c r="U7" s="2" t="s">
        <v>488</v>
      </c>
    </row>
    <row r="8" spans="1:21" x14ac:dyDescent="0.35">
      <c r="A8" s="9" t="s">
        <v>337</v>
      </c>
      <c r="B8" s="4">
        <v>45847</v>
      </c>
      <c r="C8" s="2" t="s">
        <v>137</v>
      </c>
      <c r="D8" s="2">
        <v>5678</v>
      </c>
      <c r="E8" s="2" t="s">
        <v>24</v>
      </c>
      <c r="F8" s="2" t="s">
        <v>25</v>
      </c>
      <c r="G8" s="2" t="s">
        <v>33</v>
      </c>
      <c r="H8" s="5">
        <v>8</v>
      </c>
      <c r="I8" s="3">
        <v>73.91</v>
      </c>
      <c r="J8" s="3">
        <f t="shared" si="0"/>
        <v>591.28</v>
      </c>
      <c r="K8" s="3">
        <v>448.4</v>
      </c>
      <c r="L8" s="3">
        <f t="shared" si="1"/>
        <v>142.88</v>
      </c>
      <c r="M8" s="4" t="str">
        <f t="shared" si="2"/>
        <v>Jul</v>
      </c>
      <c r="N8" s="2" t="str">
        <f t="shared" si="3"/>
        <v>2025</v>
      </c>
      <c r="O8" s="2" t="str">
        <f t="shared" si="4"/>
        <v>Jul-2025</v>
      </c>
      <c r="P8" s="6">
        <f t="shared" si="5"/>
        <v>0.2416452442159383</v>
      </c>
      <c r="Q8" s="3">
        <f t="shared" si="6"/>
        <v>73.91</v>
      </c>
      <c r="R8" s="2" t="str">
        <f>IF(Table1[[#This Row],[Profit]]&gt;500,"Yes","No")</f>
        <v>No</v>
      </c>
    </row>
    <row r="9" spans="1:21" x14ac:dyDescent="0.35">
      <c r="A9" s="9" t="s">
        <v>245</v>
      </c>
      <c r="B9" s="4">
        <v>45841</v>
      </c>
      <c r="C9" s="2" t="s">
        <v>45</v>
      </c>
      <c r="D9" s="2">
        <v>5862</v>
      </c>
      <c r="E9" s="2" t="s">
        <v>17</v>
      </c>
      <c r="F9" s="2" t="s">
        <v>15</v>
      </c>
      <c r="G9" s="2" t="s">
        <v>19</v>
      </c>
      <c r="H9" s="5">
        <v>7</v>
      </c>
      <c r="I9" s="3">
        <v>210.65</v>
      </c>
      <c r="J9" s="3">
        <f t="shared" si="0"/>
        <v>1474.55</v>
      </c>
      <c r="K9" s="3">
        <v>1167.6199999999999</v>
      </c>
      <c r="L9" s="3">
        <f t="shared" si="1"/>
        <v>306.93000000000006</v>
      </c>
      <c r="M9" s="4" t="str">
        <f t="shared" si="2"/>
        <v>Jul</v>
      </c>
      <c r="N9" s="2" t="str">
        <f t="shared" si="3"/>
        <v>2025</v>
      </c>
      <c r="O9" s="2" t="str">
        <f t="shared" si="4"/>
        <v>Jul-2025</v>
      </c>
      <c r="P9" s="6">
        <f t="shared" si="5"/>
        <v>0.20815163948323223</v>
      </c>
      <c r="Q9" s="3">
        <f t="shared" si="6"/>
        <v>210.65</v>
      </c>
      <c r="R9" s="2" t="str">
        <f>IF(Table1[[#This Row],[Profit]]&gt;500,"Yes","No")</f>
        <v>No</v>
      </c>
    </row>
    <row r="10" spans="1:21" x14ac:dyDescent="0.35">
      <c r="A10" s="9" t="s">
        <v>328</v>
      </c>
      <c r="B10" s="4">
        <v>45839</v>
      </c>
      <c r="C10" s="2" t="s">
        <v>128</v>
      </c>
      <c r="D10" s="2">
        <v>7984</v>
      </c>
      <c r="E10" s="2" t="s">
        <v>17</v>
      </c>
      <c r="F10" s="2" t="s">
        <v>22</v>
      </c>
      <c r="G10" s="2" t="s">
        <v>28</v>
      </c>
      <c r="H10" s="5">
        <v>5</v>
      </c>
      <c r="I10" s="3">
        <v>162.80000000000001</v>
      </c>
      <c r="J10" s="3">
        <f t="shared" si="0"/>
        <v>814</v>
      </c>
      <c r="K10" s="3">
        <v>653.67999999999995</v>
      </c>
      <c r="L10" s="3">
        <f t="shared" si="1"/>
        <v>160.32000000000005</v>
      </c>
      <c r="M10" s="4" t="str">
        <f t="shared" si="2"/>
        <v>Jul</v>
      </c>
      <c r="N10" s="2" t="str">
        <f t="shared" si="3"/>
        <v>2025</v>
      </c>
      <c r="O10" s="2" t="str">
        <f t="shared" si="4"/>
        <v>Jul-2025</v>
      </c>
      <c r="P10" s="6">
        <f t="shared" si="5"/>
        <v>0.19695331695331703</v>
      </c>
      <c r="Q10" s="3">
        <f t="shared" si="6"/>
        <v>162.80000000000001</v>
      </c>
      <c r="R10" s="2" t="str">
        <f>IF(Table1[[#This Row],[Profit]]&gt;500,"Yes","No")</f>
        <v>No</v>
      </c>
      <c r="T10" s="5" t="s">
        <v>468</v>
      </c>
    </row>
    <row r="11" spans="1:21" x14ac:dyDescent="0.35">
      <c r="A11" s="9" t="s">
        <v>405</v>
      </c>
      <c r="B11" s="4">
        <v>45835</v>
      </c>
      <c r="C11" s="2" t="s">
        <v>205</v>
      </c>
      <c r="D11" s="2">
        <v>5827</v>
      </c>
      <c r="E11" s="2" t="s">
        <v>13</v>
      </c>
      <c r="F11" s="2" t="s">
        <v>22</v>
      </c>
      <c r="G11" s="2" t="s">
        <v>23</v>
      </c>
      <c r="H11" s="5">
        <v>6</v>
      </c>
      <c r="I11" s="3">
        <v>363.99</v>
      </c>
      <c r="J11" s="3">
        <f t="shared" si="0"/>
        <v>2183.94</v>
      </c>
      <c r="K11" s="3">
        <v>1666.23</v>
      </c>
      <c r="L11" s="3">
        <f t="shared" si="1"/>
        <v>517.71</v>
      </c>
      <c r="M11" s="4" t="str">
        <f t="shared" si="2"/>
        <v>Jun</v>
      </c>
      <c r="N11" s="2" t="str">
        <f t="shared" si="3"/>
        <v>2025</v>
      </c>
      <c r="O11" s="2" t="str">
        <f t="shared" si="4"/>
        <v>Jun-2025</v>
      </c>
      <c r="P11" s="6">
        <f t="shared" si="5"/>
        <v>0.2370532157476854</v>
      </c>
      <c r="Q11" s="3">
        <f t="shared" si="6"/>
        <v>363.99</v>
      </c>
      <c r="R11" s="2" t="str">
        <f>IF(Table1[[#This Row],[Profit]]&gt;500,"Yes","No")</f>
        <v>Yes</v>
      </c>
      <c r="T11" s="6">
        <f>AVERAGE(Table1[Profit_margin ])</f>
        <v>0.248474263802831</v>
      </c>
      <c r="U11" s="2" t="s">
        <v>489</v>
      </c>
    </row>
    <row r="12" spans="1:21" x14ac:dyDescent="0.35">
      <c r="A12" s="9" t="s">
        <v>343</v>
      </c>
      <c r="B12" s="4">
        <v>45834</v>
      </c>
      <c r="C12" s="2" t="s">
        <v>143</v>
      </c>
      <c r="D12" s="2">
        <v>7912</v>
      </c>
      <c r="E12" s="2" t="s">
        <v>17</v>
      </c>
      <c r="F12" s="2" t="s">
        <v>22</v>
      </c>
      <c r="G12" s="2" t="s">
        <v>29</v>
      </c>
      <c r="H12" s="5">
        <v>5</v>
      </c>
      <c r="I12" s="3">
        <v>456.75</v>
      </c>
      <c r="J12" s="3">
        <f t="shared" si="0"/>
        <v>2283.75</v>
      </c>
      <c r="K12" s="3">
        <v>1809.25</v>
      </c>
      <c r="L12" s="3">
        <f t="shared" si="1"/>
        <v>474.5</v>
      </c>
      <c r="M12" s="4" t="str">
        <f t="shared" si="2"/>
        <v>Jun</v>
      </c>
      <c r="N12" s="2" t="str">
        <f t="shared" si="3"/>
        <v>2025</v>
      </c>
      <c r="O12" s="2" t="str">
        <f t="shared" si="4"/>
        <v>Jun-2025</v>
      </c>
      <c r="P12" s="6">
        <f t="shared" si="5"/>
        <v>0.20777230432402846</v>
      </c>
      <c r="Q12" s="3">
        <f t="shared" si="6"/>
        <v>456.75</v>
      </c>
      <c r="R12" s="2" t="str">
        <f>IF(Table1[[#This Row],[Profit]]&gt;500,"Yes","No")</f>
        <v>No</v>
      </c>
    </row>
    <row r="13" spans="1:21" x14ac:dyDescent="0.35">
      <c r="A13" s="9" t="s">
        <v>359</v>
      </c>
      <c r="B13" s="4">
        <v>45833</v>
      </c>
      <c r="C13" s="2" t="s">
        <v>159</v>
      </c>
      <c r="D13" s="2">
        <v>5193</v>
      </c>
      <c r="E13" s="2" t="s">
        <v>24</v>
      </c>
      <c r="F13" s="2" t="s">
        <v>22</v>
      </c>
      <c r="G13" s="2" t="s">
        <v>34</v>
      </c>
      <c r="H13" s="5">
        <v>2</v>
      </c>
      <c r="I13" s="3">
        <v>454.67</v>
      </c>
      <c r="J13" s="3">
        <f t="shared" si="0"/>
        <v>909.34</v>
      </c>
      <c r="K13" s="3">
        <v>727.04</v>
      </c>
      <c r="L13" s="3">
        <f t="shared" si="1"/>
        <v>182.30000000000007</v>
      </c>
      <c r="M13" s="4" t="str">
        <f t="shared" si="2"/>
        <v>Jun</v>
      </c>
      <c r="N13" s="2" t="str">
        <f t="shared" si="3"/>
        <v>2025</v>
      </c>
      <c r="O13" s="2" t="str">
        <f t="shared" si="4"/>
        <v>Jun-2025</v>
      </c>
      <c r="P13" s="6">
        <f t="shared" si="5"/>
        <v>0.20047506983086641</v>
      </c>
      <c r="Q13" s="3">
        <f t="shared" si="6"/>
        <v>454.67</v>
      </c>
      <c r="R13" s="2" t="str">
        <f>IF(Table1[[#This Row],[Profit]]&gt;500,"Yes","No")</f>
        <v>No</v>
      </c>
      <c r="T13" s="3"/>
    </row>
    <row r="14" spans="1:21" x14ac:dyDescent="0.35">
      <c r="A14" s="9" t="s">
        <v>368</v>
      </c>
      <c r="B14" s="4">
        <v>45833</v>
      </c>
      <c r="C14" s="2" t="s">
        <v>168</v>
      </c>
      <c r="D14" s="2">
        <v>1141</v>
      </c>
      <c r="E14" s="2" t="s">
        <v>24</v>
      </c>
      <c r="F14" s="2" t="s">
        <v>20</v>
      </c>
      <c r="G14" s="2" t="s">
        <v>35</v>
      </c>
      <c r="H14" s="5">
        <v>2</v>
      </c>
      <c r="I14" s="3">
        <v>403.23</v>
      </c>
      <c r="J14" s="3">
        <f t="shared" si="0"/>
        <v>806.46</v>
      </c>
      <c r="K14" s="3">
        <v>596.58000000000004</v>
      </c>
      <c r="L14" s="3">
        <f t="shared" si="1"/>
        <v>209.88</v>
      </c>
      <c r="M14" s="4" t="str">
        <f t="shared" si="2"/>
        <v>Jun</v>
      </c>
      <c r="N14" s="2" t="str">
        <f t="shared" si="3"/>
        <v>2025</v>
      </c>
      <c r="O14" s="2" t="str">
        <f t="shared" si="4"/>
        <v>Jun-2025</v>
      </c>
      <c r="P14" s="6">
        <f t="shared" si="5"/>
        <v>0.26024849341566847</v>
      </c>
      <c r="Q14" s="3">
        <f t="shared" si="6"/>
        <v>403.23</v>
      </c>
      <c r="R14" s="2" t="str">
        <f>IF(Table1[[#This Row],[Profit]]&gt;500,"Yes","No")</f>
        <v>No</v>
      </c>
      <c r="T14" s="1" t="s">
        <v>469</v>
      </c>
    </row>
    <row r="15" spans="1:21" x14ac:dyDescent="0.35">
      <c r="A15" s="9" t="s">
        <v>318</v>
      </c>
      <c r="B15" s="4">
        <v>45831</v>
      </c>
      <c r="C15" s="2" t="s">
        <v>118</v>
      </c>
      <c r="D15" s="2">
        <v>8793</v>
      </c>
      <c r="E15" s="2" t="s">
        <v>13</v>
      </c>
      <c r="F15" s="2" t="s">
        <v>20</v>
      </c>
      <c r="G15" s="2" t="s">
        <v>27</v>
      </c>
      <c r="H15" s="5">
        <v>4</v>
      </c>
      <c r="I15" s="3">
        <v>120.96</v>
      </c>
      <c r="J15" s="3">
        <f t="shared" si="0"/>
        <v>483.84</v>
      </c>
      <c r="K15" s="3">
        <v>369.81</v>
      </c>
      <c r="L15" s="3">
        <f t="shared" si="1"/>
        <v>114.02999999999997</v>
      </c>
      <c r="M15" s="4" t="str">
        <f t="shared" si="2"/>
        <v>Jun</v>
      </c>
      <c r="N15" s="2" t="str">
        <f t="shared" si="3"/>
        <v>2025</v>
      </c>
      <c r="O15" s="2" t="str">
        <f t="shared" si="4"/>
        <v>Jun-2025</v>
      </c>
      <c r="P15" s="6">
        <f t="shared" si="5"/>
        <v>0.23567708333333329</v>
      </c>
      <c r="Q15" s="3">
        <f t="shared" si="6"/>
        <v>120.96</v>
      </c>
      <c r="R15" s="2" t="str">
        <f>IF(Table1[[#This Row],[Profit]]&gt;500,"Yes","No")</f>
        <v>No</v>
      </c>
      <c r="T15" s="2">
        <f>COUNT(Table1[Order_Date])</f>
        <v>200</v>
      </c>
      <c r="U15" s="2" t="s">
        <v>490</v>
      </c>
    </row>
    <row r="16" spans="1:21" x14ac:dyDescent="0.35">
      <c r="A16" s="9" t="s">
        <v>273</v>
      </c>
      <c r="B16" s="4">
        <v>45830</v>
      </c>
      <c r="C16" s="2" t="s">
        <v>73</v>
      </c>
      <c r="D16" s="2">
        <v>5894</v>
      </c>
      <c r="E16" s="2" t="s">
        <v>10</v>
      </c>
      <c r="F16" s="2" t="s">
        <v>11</v>
      </c>
      <c r="G16" s="2" t="s">
        <v>12</v>
      </c>
      <c r="H16" s="5">
        <v>8</v>
      </c>
      <c r="I16" s="3">
        <v>461.49</v>
      </c>
      <c r="J16" s="3">
        <f t="shared" si="0"/>
        <v>3691.92</v>
      </c>
      <c r="K16" s="3">
        <v>2790.1</v>
      </c>
      <c r="L16" s="3">
        <f t="shared" si="1"/>
        <v>901.82000000000016</v>
      </c>
      <c r="M16" s="4" t="str">
        <f t="shared" si="2"/>
        <v>Jun</v>
      </c>
      <c r="N16" s="2" t="str">
        <f t="shared" si="3"/>
        <v>2025</v>
      </c>
      <c r="O16" s="2" t="str">
        <f t="shared" si="4"/>
        <v>Jun-2025</v>
      </c>
      <c r="P16" s="6">
        <f t="shared" si="5"/>
        <v>0.24426856486597764</v>
      </c>
      <c r="Q16" s="3">
        <f t="shared" si="6"/>
        <v>461.49</v>
      </c>
      <c r="R16" s="2" t="str">
        <f>IF(Table1[[#This Row],[Profit]]&gt;500,"Yes","No")</f>
        <v>Yes</v>
      </c>
    </row>
    <row r="17" spans="1:21" x14ac:dyDescent="0.35">
      <c r="A17" s="9" t="s">
        <v>321</v>
      </c>
      <c r="B17" s="4">
        <v>45827</v>
      </c>
      <c r="C17" s="2" t="s">
        <v>121</v>
      </c>
      <c r="D17" s="2">
        <v>9306</v>
      </c>
      <c r="E17" s="2" t="s">
        <v>10</v>
      </c>
      <c r="F17" s="2" t="s">
        <v>15</v>
      </c>
      <c r="G17" s="2" t="s">
        <v>36</v>
      </c>
      <c r="H17" s="5">
        <v>4</v>
      </c>
      <c r="I17" s="3">
        <v>428.87</v>
      </c>
      <c r="J17" s="3">
        <f t="shared" si="0"/>
        <v>1715.48</v>
      </c>
      <c r="K17" s="3">
        <v>1056.1500000000001</v>
      </c>
      <c r="L17" s="3">
        <f t="shared" si="1"/>
        <v>659.32999999999993</v>
      </c>
      <c r="M17" s="4" t="str">
        <f t="shared" si="2"/>
        <v>Jun</v>
      </c>
      <c r="N17" s="2" t="str">
        <f t="shared" si="3"/>
        <v>2025</v>
      </c>
      <c r="O17" s="2" t="str">
        <f t="shared" si="4"/>
        <v>Jun-2025</v>
      </c>
      <c r="P17" s="6">
        <f t="shared" si="5"/>
        <v>0.38434140881852302</v>
      </c>
      <c r="Q17" s="3">
        <f t="shared" si="6"/>
        <v>428.87</v>
      </c>
      <c r="R17" s="2" t="str">
        <f>IF(Table1[[#This Row],[Profit]]&gt;500,"Yes","No")</f>
        <v>Yes</v>
      </c>
      <c r="T17" s="1" t="s">
        <v>470</v>
      </c>
    </row>
    <row r="18" spans="1:21" x14ac:dyDescent="0.35">
      <c r="A18" s="9" t="s">
        <v>414</v>
      </c>
      <c r="B18" s="4">
        <v>45827</v>
      </c>
      <c r="C18" s="2" t="s">
        <v>214</v>
      </c>
      <c r="D18" s="2">
        <v>1760</v>
      </c>
      <c r="E18" s="2" t="s">
        <v>24</v>
      </c>
      <c r="F18" s="2" t="s">
        <v>25</v>
      </c>
      <c r="G18" s="2" t="s">
        <v>30</v>
      </c>
      <c r="H18" s="5">
        <v>9</v>
      </c>
      <c r="I18" s="3">
        <v>288.64</v>
      </c>
      <c r="J18" s="3">
        <f t="shared" si="0"/>
        <v>2597.7599999999998</v>
      </c>
      <c r="K18" s="3">
        <v>1770.9</v>
      </c>
      <c r="L18" s="3">
        <f t="shared" si="1"/>
        <v>826.85999999999967</v>
      </c>
      <c r="M18" s="4" t="str">
        <f t="shared" si="2"/>
        <v>Jun</v>
      </c>
      <c r="N18" s="2" t="str">
        <f t="shared" si="3"/>
        <v>2025</v>
      </c>
      <c r="O18" s="2" t="str">
        <f t="shared" si="4"/>
        <v>Jun-2025</v>
      </c>
      <c r="P18" s="6">
        <f t="shared" si="5"/>
        <v>0.31829730229120462</v>
      </c>
      <c r="Q18" s="3">
        <f t="shared" si="6"/>
        <v>288.64</v>
      </c>
      <c r="R18" s="2" t="str">
        <f>IF(Table1[[#This Row],[Profit]]&gt;500,"Yes","No")</f>
        <v>Yes</v>
      </c>
      <c r="T18" s="5">
        <f>AVERAGE(Table1[Average_price])</f>
        <v>244.68035</v>
      </c>
      <c r="U18" s="2" t="s">
        <v>491</v>
      </c>
    </row>
    <row r="19" spans="1:21" x14ac:dyDescent="0.35">
      <c r="A19" s="9" t="s">
        <v>390</v>
      </c>
      <c r="B19" s="4">
        <v>45825</v>
      </c>
      <c r="C19" s="2" t="s">
        <v>190</v>
      </c>
      <c r="D19" s="2">
        <v>6599</v>
      </c>
      <c r="E19" s="2" t="s">
        <v>24</v>
      </c>
      <c r="F19" s="2" t="s">
        <v>15</v>
      </c>
      <c r="G19" s="2" t="s">
        <v>32</v>
      </c>
      <c r="H19" s="5">
        <v>7</v>
      </c>
      <c r="I19" s="3">
        <v>66.180000000000007</v>
      </c>
      <c r="J19" s="3">
        <f t="shared" si="0"/>
        <v>463.26000000000005</v>
      </c>
      <c r="K19" s="3">
        <v>326.77999999999997</v>
      </c>
      <c r="L19" s="3">
        <f t="shared" si="1"/>
        <v>136.48000000000008</v>
      </c>
      <c r="M19" s="4" t="str">
        <f t="shared" si="2"/>
        <v>Jun</v>
      </c>
      <c r="N19" s="2" t="str">
        <f t="shared" si="3"/>
        <v>2025</v>
      </c>
      <c r="O19" s="2" t="str">
        <f t="shared" si="4"/>
        <v>Jun-2025</v>
      </c>
      <c r="P19" s="6">
        <f t="shared" si="5"/>
        <v>0.29460777964857759</v>
      </c>
      <c r="Q19" s="3">
        <f t="shared" si="6"/>
        <v>66.180000000000007</v>
      </c>
      <c r="R19" s="2" t="str">
        <f>IF(Table1[[#This Row],[Profit]]&gt;500,"Yes","No")</f>
        <v>No</v>
      </c>
    </row>
    <row r="20" spans="1:21" x14ac:dyDescent="0.35">
      <c r="A20" s="9" t="s">
        <v>246</v>
      </c>
      <c r="B20" s="4">
        <v>45820</v>
      </c>
      <c r="C20" s="2" t="s">
        <v>46</v>
      </c>
      <c r="D20" s="2">
        <v>4939</v>
      </c>
      <c r="E20" s="2" t="s">
        <v>24</v>
      </c>
      <c r="F20" s="2" t="s">
        <v>15</v>
      </c>
      <c r="G20" s="2" t="s">
        <v>16</v>
      </c>
      <c r="H20" s="5">
        <v>6</v>
      </c>
      <c r="I20" s="3">
        <v>55.95</v>
      </c>
      <c r="J20" s="3">
        <f t="shared" si="0"/>
        <v>335.70000000000005</v>
      </c>
      <c r="K20" s="3">
        <v>296.25</v>
      </c>
      <c r="L20" s="3">
        <f t="shared" si="1"/>
        <v>39.450000000000045</v>
      </c>
      <c r="M20" s="4" t="str">
        <f t="shared" si="2"/>
        <v>Jun</v>
      </c>
      <c r="N20" s="2" t="str">
        <f t="shared" si="3"/>
        <v>2025</v>
      </c>
      <c r="O20" s="2" t="str">
        <f t="shared" si="4"/>
        <v>Jun-2025</v>
      </c>
      <c r="P20" s="6">
        <f t="shared" si="5"/>
        <v>0.11751563896336026</v>
      </c>
      <c r="Q20" s="3">
        <f t="shared" si="6"/>
        <v>55.95000000000001</v>
      </c>
      <c r="R20" s="2" t="str">
        <f>IF(Table1[[#This Row],[Profit]]&gt;500,"Yes","No")</f>
        <v>No</v>
      </c>
      <c r="T20" s="2" t="s">
        <v>487</v>
      </c>
    </row>
    <row r="21" spans="1:21" x14ac:dyDescent="0.35">
      <c r="A21" s="9" t="s">
        <v>305</v>
      </c>
      <c r="B21" s="4">
        <v>45819</v>
      </c>
      <c r="C21" s="2" t="s">
        <v>105</v>
      </c>
      <c r="D21" s="2">
        <v>3829</v>
      </c>
      <c r="E21" s="2" t="s">
        <v>13</v>
      </c>
      <c r="F21" s="2" t="s">
        <v>25</v>
      </c>
      <c r="G21" s="2" t="s">
        <v>33</v>
      </c>
      <c r="H21" s="5">
        <v>7</v>
      </c>
      <c r="I21" s="3">
        <v>209.55</v>
      </c>
      <c r="J21" s="3">
        <f t="shared" si="0"/>
        <v>1466.8500000000001</v>
      </c>
      <c r="K21" s="3">
        <v>1258.26</v>
      </c>
      <c r="L21" s="3">
        <f t="shared" si="1"/>
        <v>208.59000000000015</v>
      </c>
      <c r="M21" s="4" t="str">
        <f t="shared" si="2"/>
        <v>Jun</v>
      </c>
      <c r="N21" s="2" t="str">
        <f t="shared" si="3"/>
        <v>2025</v>
      </c>
      <c r="O21" s="2" t="str">
        <f t="shared" si="4"/>
        <v>Jun-2025</v>
      </c>
      <c r="P21" s="6">
        <f t="shared" si="5"/>
        <v>0.14220267921055332</v>
      </c>
      <c r="Q21" s="3">
        <f t="shared" si="6"/>
        <v>209.55</v>
      </c>
      <c r="R21" s="2" t="str">
        <f>IF(Table1[[#This Row],[Profit]]&gt;500,"Yes","No")</f>
        <v>No</v>
      </c>
      <c r="T21" s="2">
        <v>62</v>
      </c>
    </row>
    <row r="22" spans="1:21" x14ac:dyDescent="0.35">
      <c r="A22" s="9" t="s">
        <v>322</v>
      </c>
      <c r="B22" s="4">
        <v>45818</v>
      </c>
      <c r="C22" s="2" t="s">
        <v>122</v>
      </c>
      <c r="D22" s="2">
        <v>1491</v>
      </c>
      <c r="E22" s="2" t="s">
        <v>13</v>
      </c>
      <c r="F22" s="2" t="s">
        <v>22</v>
      </c>
      <c r="G22" s="2" t="s">
        <v>34</v>
      </c>
      <c r="H22" s="5">
        <v>10</v>
      </c>
      <c r="I22" s="3">
        <v>269.08</v>
      </c>
      <c r="J22" s="3">
        <f t="shared" si="0"/>
        <v>2690.7999999999997</v>
      </c>
      <c r="K22" s="3">
        <v>1724.88</v>
      </c>
      <c r="L22" s="3">
        <f t="shared" si="1"/>
        <v>965.91999999999962</v>
      </c>
      <c r="M22" s="4" t="str">
        <f t="shared" si="2"/>
        <v>Jun</v>
      </c>
      <c r="N22" s="2" t="str">
        <f t="shared" si="3"/>
        <v>2025</v>
      </c>
      <c r="O22" s="2" t="str">
        <f t="shared" si="4"/>
        <v>Jun-2025</v>
      </c>
      <c r="P22" s="6">
        <f t="shared" si="5"/>
        <v>0.35897130964768831</v>
      </c>
      <c r="Q22" s="3">
        <f t="shared" si="6"/>
        <v>269.08</v>
      </c>
      <c r="R22" s="2" t="str">
        <f>IF(Table1[[#This Row],[Profit]]&gt;500,"Yes","No")</f>
        <v>Yes</v>
      </c>
    </row>
    <row r="23" spans="1:21" x14ac:dyDescent="0.35">
      <c r="A23" s="9" t="s">
        <v>350</v>
      </c>
      <c r="B23" s="4">
        <v>45816</v>
      </c>
      <c r="C23" s="2" t="s">
        <v>150</v>
      </c>
      <c r="D23" s="2">
        <v>6215</v>
      </c>
      <c r="E23" s="2" t="s">
        <v>17</v>
      </c>
      <c r="F23" s="2" t="s">
        <v>22</v>
      </c>
      <c r="G23" s="2" t="s">
        <v>28</v>
      </c>
      <c r="H23" s="5">
        <v>1</v>
      </c>
      <c r="I23" s="3">
        <v>45.14</v>
      </c>
      <c r="J23" s="3">
        <f t="shared" si="0"/>
        <v>45.14</v>
      </c>
      <c r="K23" s="3">
        <v>28.37</v>
      </c>
      <c r="L23" s="3">
        <f t="shared" si="1"/>
        <v>16.77</v>
      </c>
      <c r="M23" s="4" t="str">
        <f t="shared" si="2"/>
        <v>Jun</v>
      </c>
      <c r="N23" s="2" t="str">
        <f t="shared" si="3"/>
        <v>2025</v>
      </c>
      <c r="O23" s="2" t="str">
        <f t="shared" si="4"/>
        <v>Jun-2025</v>
      </c>
      <c r="P23" s="6">
        <f t="shared" si="5"/>
        <v>0.3715108551174125</v>
      </c>
      <c r="Q23" s="3">
        <f t="shared" si="6"/>
        <v>45.14</v>
      </c>
      <c r="R23" s="2" t="str">
        <f>IF(Table1[[#This Row],[Profit]]&gt;500,"Yes","No")</f>
        <v>No</v>
      </c>
    </row>
    <row r="24" spans="1:21" x14ac:dyDescent="0.35">
      <c r="A24" s="9" t="s">
        <v>387</v>
      </c>
      <c r="B24" s="4">
        <v>45813</v>
      </c>
      <c r="C24" s="2" t="s">
        <v>187</v>
      </c>
      <c r="D24" s="2">
        <v>3193</v>
      </c>
      <c r="E24" s="2" t="s">
        <v>10</v>
      </c>
      <c r="F24" s="2" t="s">
        <v>11</v>
      </c>
      <c r="G24" s="2" t="s">
        <v>14</v>
      </c>
      <c r="H24" s="5">
        <v>9</v>
      </c>
      <c r="I24" s="3">
        <v>478.43</v>
      </c>
      <c r="J24" s="3">
        <f t="shared" si="0"/>
        <v>4305.87</v>
      </c>
      <c r="K24" s="3">
        <v>3666.38</v>
      </c>
      <c r="L24" s="3">
        <f t="shared" si="1"/>
        <v>639.48999999999978</v>
      </c>
      <c r="M24" s="4" t="str">
        <f t="shared" si="2"/>
        <v>Jun</v>
      </c>
      <c r="N24" s="2" t="str">
        <f t="shared" si="3"/>
        <v>2025</v>
      </c>
      <c r="O24" s="2" t="str">
        <f t="shared" si="4"/>
        <v>Jun-2025</v>
      </c>
      <c r="P24" s="6">
        <f t="shared" si="5"/>
        <v>0.14851586322856933</v>
      </c>
      <c r="Q24" s="3">
        <f t="shared" si="6"/>
        <v>478.43</v>
      </c>
      <c r="R24" s="2" t="str">
        <f>IF(Table1[[#This Row],[Profit]]&gt;500,"Yes","No")</f>
        <v>Yes</v>
      </c>
    </row>
    <row r="25" spans="1:21" x14ac:dyDescent="0.35">
      <c r="A25" s="9" t="s">
        <v>355</v>
      </c>
      <c r="B25" s="4">
        <v>45811</v>
      </c>
      <c r="C25" s="2" t="s">
        <v>155</v>
      </c>
      <c r="D25" s="2">
        <v>2992</v>
      </c>
      <c r="E25" s="2" t="s">
        <v>13</v>
      </c>
      <c r="F25" s="2" t="s">
        <v>25</v>
      </c>
      <c r="G25" s="2" t="s">
        <v>30</v>
      </c>
      <c r="H25" s="5">
        <v>7</v>
      </c>
      <c r="I25" s="3">
        <v>349.02</v>
      </c>
      <c r="J25" s="3">
        <f t="shared" si="0"/>
        <v>2443.14</v>
      </c>
      <c r="K25" s="3">
        <v>2137.16</v>
      </c>
      <c r="L25" s="3">
        <f t="shared" si="1"/>
        <v>305.98</v>
      </c>
      <c r="M25" s="4" t="str">
        <f t="shared" si="2"/>
        <v>Jun</v>
      </c>
      <c r="N25" s="2" t="str">
        <f t="shared" si="3"/>
        <v>2025</v>
      </c>
      <c r="O25" s="2" t="str">
        <f t="shared" si="4"/>
        <v>Jun-2025</v>
      </c>
      <c r="P25" s="6">
        <f t="shared" si="5"/>
        <v>0.12524046923221757</v>
      </c>
      <c r="Q25" s="3">
        <f t="shared" si="6"/>
        <v>349.02</v>
      </c>
      <c r="R25" s="2" t="str">
        <f>IF(Table1[[#This Row],[Profit]]&gt;500,"Yes","No")</f>
        <v>No</v>
      </c>
    </row>
    <row r="26" spans="1:21" x14ac:dyDescent="0.35">
      <c r="A26" s="9" t="s">
        <v>410</v>
      </c>
      <c r="B26" s="4">
        <v>45810</v>
      </c>
      <c r="C26" s="2" t="s">
        <v>210</v>
      </c>
      <c r="D26" s="2">
        <v>1040</v>
      </c>
      <c r="E26" s="2" t="s">
        <v>13</v>
      </c>
      <c r="F26" s="2" t="s">
        <v>15</v>
      </c>
      <c r="G26" s="2" t="s">
        <v>19</v>
      </c>
      <c r="H26" s="5">
        <v>3</v>
      </c>
      <c r="I26" s="3">
        <v>239.11</v>
      </c>
      <c r="J26" s="3">
        <f t="shared" si="0"/>
        <v>717.33</v>
      </c>
      <c r="K26" s="3">
        <v>524.65</v>
      </c>
      <c r="L26" s="3">
        <f t="shared" si="1"/>
        <v>192.68000000000006</v>
      </c>
      <c r="M26" s="4" t="str">
        <f t="shared" si="2"/>
        <v>Jun</v>
      </c>
      <c r="N26" s="2" t="str">
        <f t="shared" si="3"/>
        <v>2025</v>
      </c>
      <c r="O26" s="2" t="str">
        <f t="shared" si="4"/>
        <v>Jun-2025</v>
      </c>
      <c r="P26" s="6">
        <f t="shared" si="5"/>
        <v>0.2686071961300936</v>
      </c>
      <c r="Q26" s="3">
        <f t="shared" si="6"/>
        <v>239.11</v>
      </c>
      <c r="R26" s="2" t="str">
        <f>IF(Table1[[#This Row],[Profit]]&gt;500,"Yes","No")</f>
        <v>No</v>
      </c>
    </row>
    <row r="27" spans="1:21" x14ac:dyDescent="0.35">
      <c r="A27" s="9" t="s">
        <v>267</v>
      </c>
      <c r="B27" s="4">
        <v>45809</v>
      </c>
      <c r="C27" s="2" t="s">
        <v>67</v>
      </c>
      <c r="D27" s="2">
        <v>2912</v>
      </c>
      <c r="E27" s="2" t="s">
        <v>24</v>
      </c>
      <c r="F27" s="2" t="s">
        <v>11</v>
      </c>
      <c r="G27" s="2" t="s">
        <v>14</v>
      </c>
      <c r="H27" s="5">
        <v>5</v>
      </c>
      <c r="I27" s="3">
        <v>338.67</v>
      </c>
      <c r="J27" s="3">
        <f t="shared" si="0"/>
        <v>1693.3500000000001</v>
      </c>
      <c r="K27" s="3">
        <v>1350.45</v>
      </c>
      <c r="L27" s="3">
        <f t="shared" si="1"/>
        <v>342.90000000000009</v>
      </c>
      <c r="M27" s="4" t="str">
        <f t="shared" si="2"/>
        <v>Jun</v>
      </c>
      <c r="N27" s="2" t="str">
        <f t="shared" si="3"/>
        <v>2025</v>
      </c>
      <c r="O27" s="2" t="str">
        <f t="shared" si="4"/>
        <v>Jun-2025</v>
      </c>
      <c r="P27" s="6">
        <f t="shared" si="5"/>
        <v>0.20249800690938086</v>
      </c>
      <c r="Q27" s="3">
        <f t="shared" si="6"/>
        <v>338.67</v>
      </c>
      <c r="R27" s="2" t="str">
        <f>IF(Table1[[#This Row],[Profit]]&gt;500,"Yes","No")</f>
        <v>No</v>
      </c>
    </row>
    <row r="28" spans="1:21" x14ac:dyDescent="0.35">
      <c r="A28" s="9" t="s">
        <v>348</v>
      </c>
      <c r="B28" s="4">
        <v>45806</v>
      </c>
      <c r="C28" s="2" t="s">
        <v>148</v>
      </c>
      <c r="D28" s="2">
        <v>6505</v>
      </c>
      <c r="E28" s="2" t="s">
        <v>13</v>
      </c>
      <c r="F28" s="2" t="s">
        <v>15</v>
      </c>
      <c r="G28" s="2" t="s">
        <v>32</v>
      </c>
      <c r="H28" s="5">
        <v>2</v>
      </c>
      <c r="I28" s="3">
        <v>303.76</v>
      </c>
      <c r="J28" s="3">
        <f t="shared" si="0"/>
        <v>607.52</v>
      </c>
      <c r="K28" s="3">
        <v>481.78</v>
      </c>
      <c r="L28" s="3">
        <f t="shared" si="1"/>
        <v>125.74000000000001</v>
      </c>
      <c r="M28" s="4" t="str">
        <f t="shared" si="2"/>
        <v>May</v>
      </c>
      <c r="N28" s="2" t="str">
        <f t="shared" si="3"/>
        <v>2025</v>
      </c>
      <c r="O28" s="2" t="str">
        <f t="shared" si="4"/>
        <v>May-2025</v>
      </c>
      <c r="P28" s="6">
        <f t="shared" si="5"/>
        <v>0.20697260995522784</v>
      </c>
      <c r="Q28" s="3">
        <f t="shared" si="6"/>
        <v>303.76</v>
      </c>
      <c r="R28" s="2" t="str">
        <f>IF(Table1[[#This Row],[Profit]]&gt;500,"Yes","No")</f>
        <v>No</v>
      </c>
    </row>
    <row r="29" spans="1:21" x14ac:dyDescent="0.35">
      <c r="A29" s="9" t="s">
        <v>344</v>
      </c>
      <c r="B29" s="4">
        <v>45804</v>
      </c>
      <c r="C29" s="2" t="s">
        <v>144</v>
      </c>
      <c r="D29" s="2">
        <v>5144</v>
      </c>
      <c r="E29" s="2" t="s">
        <v>24</v>
      </c>
      <c r="F29" s="2" t="s">
        <v>15</v>
      </c>
      <c r="G29" s="2" t="s">
        <v>19</v>
      </c>
      <c r="H29" s="5">
        <v>10</v>
      </c>
      <c r="I29" s="3">
        <v>353.83</v>
      </c>
      <c r="J29" s="3">
        <f t="shared" si="0"/>
        <v>3538.2999999999997</v>
      </c>
      <c r="K29" s="3">
        <v>2638.88</v>
      </c>
      <c r="L29" s="3">
        <f t="shared" si="1"/>
        <v>899.41999999999962</v>
      </c>
      <c r="M29" s="4" t="str">
        <f t="shared" si="2"/>
        <v>May</v>
      </c>
      <c r="N29" s="2" t="str">
        <f t="shared" si="3"/>
        <v>2025</v>
      </c>
      <c r="O29" s="2" t="str">
        <f t="shared" si="4"/>
        <v>May-2025</v>
      </c>
      <c r="P29" s="6">
        <f t="shared" si="5"/>
        <v>0.25419551762145653</v>
      </c>
      <c r="Q29" s="3">
        <f t="shared" si="6"/>
        <v>353.83</v>
      </c>
      <c r="R29" s="2" t="str">
        <f>IF(Table1[[#This Row],[Profit]]&gt;500,"Yes","No")</f>
        <v>Yes</v>
      </c>
    </row>
    <row r="30" spans="1:21" x14ac:dyDescent="0.35">
      <c r="A30" s="9" t="s">
        <v>393</v>
      </c>
      <c r="B30" s="4">
        <v>45804</v>
      </c>
      <c r="C30" s="2" t="s">
        <v>193</v>
      </c>
      <c r="D30" s="2">
        <v>5391</v>
      </c>
      <c r="E30" s="2" t="s">
        <v>10</v>
      </c>
      <c r="F30" s="2" t="s">
        <v>22</v>
      </c>
      <c r="G30" s="2" t="s">
        <v>34</v>
      </c>
      <c r="H30" s="5">
        <v>4</v>
      </c>
      <c r="I30" s="3">
        <v>387.33</v>
      </c>
      <c r="J30" s="3">
        <f t="shared" si="0"/>
        <v>1549.32</v>
      </c>
      <c r="K30" s="3">
        <v>994.48</v>
      </c>
      <c r="L30" s="3">
        <f t="shared" si="1"/>
        <v>554.83999999999992</v>
      </c>
      <c r="M30" s="4" t="str">
        <f t="shared" si="2"/>
        <v>May</v>
      </c>
      <c r="N30" s="2" t="str">
        <f t="shared" si="3"/>
        <v>2025</v>
      </c>
      <c r="O30" s="2" t="str">
        <f t="shared" si="4"/>
        <v>May-2025</v>
      </c>
      <c r="P30" s="6">
        <f t="shared" si="5"/>
        <v>0.35811840033046755</v>
      </c>
      <c r="Q30" s="3">
        <f t="shared" si="6"/>
        <v>387.33</v>
      </c>
      <c r="R30" s="2" t="str">
        <f>IF(Table1[[#This Row],[Profit]]&gt;500,"Yes","No")</f>
        <v>Yes</v>
      </c>
    </row>
    <row r="31" spans="1:21" x14ac:dyDescent="0.35">
      <c r="A31" s="9" t="s">
        <v>285</v>
      </c>
      <c r="B31" s="4">
        <v>45800</v>
      </c>
      <c r="C31" s="2" t="s">
        <v>85</v>
      </c>
      <c r="D31" s="2">
        <v>4297</v>
      </c>
      <c r="E31" s="2" t="s">
        <v>10</v>
      </c>
      <c r="F31" s="2" t="s">
        <v>15</v>
      </c>
      <c r="G31" s="2" t="s">
        <v>32</v>
      </c>
      <c r="H31" s="5">
        <v>5</v>
      </c>
      <c r="I31" s="3">
        <v>384.55</v>
      </c>
      <c r="J31" s="3">
        <f t="shared" si="0"/>
        <v>1922.75</v>
      </c>
      <c r="K31" s="3">
        <v>1639.08</v>
      </c>
      <c r="L31" s="3">
        <f t="shared" si="1"/>
        <v>283.67000000000007</v>
      </c>
      <c r="M31" s="4" t="str">
        <f t="shared" si="2"/>
        <v>May</v>
      </c>
      <c r="N31" s="2" t="str">
        <f t="shared" si="3"/>
        <v>2025</v>
      </c>
      <c r="O31" s="2" t="str">
        <f t="shared" si="4"/>
        <v>May-2025</v>
      </c>
      <c r="P31" s="6">
        <f t="shared" si="5"/>
        <v>0.14753348069171762</v>
      </c>
      <c r="Q31" s="3">
        <f t="shared" si="6"/>
        <v>384.55</v>
      </c>
      <c r="R31" s="2" t="str">
        <f>IF(Table1[[#This Row],[Profit]]&gt;500,"Yes","No")</f>
        <v>No</v>
      </c>
    </row>
    <row r="32" spans="1:21" x14ac:dyDescent="0.35">
      <c r="A32" s="9" t="s">
        <v>379</v>
      </c>
      <c r="B32" s="4">
        <v>45800</v>
      </c>
      <c r="C32" s="2" t="s">
        <v>179</v>
      </c>
      <c r="D32" s="2">
        <v>7838</v>
      </c>
      <c r="E32" s="2" t="s">
        <v>13</v>
      </c>
      <c r="F32" s="2" t="s">
        <v>20</v>
      </c>
      <c r="G32" s="2" t="s">
        <v>31</v>
      </c>
      <c r="H32" s="5">
        <v>3</v>
      </c>
      <c r="I32" s="3">
        <v>146.41</v>
      </c>
      <c r="J32" s="3">
        <f t="shared" si="0"/>
        <v>439.23</v>
      </c>
      <c r="K32" s="3">
        <v>353.42</v>
      </c>
      <c r="L32" s="3">
        <f t="shared" si="1"/>
        <v>85.81</v>
      </c>
      <c r="M32" s="4" t="str">
        <f t="shared" si="2"/>
        <v>May</v>
      </c>
      <c r="N32" s="2" t="str">
        <f t="shared" si="3"/>
        <v>2025</v>
      </c>
      <c r="O32" s="2" t="str">
        <f t="shared" si="4"/>
        <v>May-2025</v>
      </c>
      <c r="P32" s="6">
        <f t="shared" si="5"/>
        <v>0.19536461534958904</v>
      </c>
      <c r="Q32" s="3">
        <f t="shared" si="6"/>
        <v>146.41</v>
      </c>
      <c r="R32" s="2" t="str">
        <f>IF(Table1[[#This Row],[Profit]]&gt;500,"Yes","No")</f>
        <v>No</v>
      </c>
    </row>
    <row r="33" spans="1:18" x14ac:dyDescent="0.35">
      <c r="A33" s="9" t="s">
        <v>435</v>
      </c>
      <c r="B33" s="4">
        <v>45799</v>
      </c>
      <c r="C33" s="2" t="s">
        <v>235</v>
      </c>
      <c r="D33" s="2">
        <v>2127</v>
      </c>
      <c r="E33" s="2" t="s">
        <v>24</v>
      </c>
      <c r="F33" s="2" t="s">
        <v>25</v>
      </c>
      <c r="G33" s="2" t="s">
        <v>26</v>
      </c>
      <c r="H33" s="5">
        <v>8</v>
      </c>
      <c r="I33" s="3">
        <v>349.71</v>
      </c>
      <c r="J33" s="3">
        <f t="shared" si="0"/>
        <v>2797.68</v>
      </c>
      <c r="K33" s="3">
        <v>1896.28</v>
      </c>
      <c r="L33" s="3">
        <f t="shared" si="1"/>
        <v>901.39999999999986</v>
      </c>
      <c r="M33" s="4" t="str">
        <f t="shared" si="2"/>
        <v>May</v>
      </c>
      <c r="N33" s="2" t="str">
        <f t="shared" si="3"/>
        <v>2025</v>
      </c>
      <c r="O33" s="2" t="str">
        <f t="shared" si="4"/>
        <v>May-2025</v>
      </c>
      <c r="P33" s="6">
        <f t="shared" si="5"/>
        <v>0.32219553344199475</v>
      </c>
      <c r="Q33" s="3">
        <f t="shared" si="6"/>
        <v>349.71</v>
      </c>
      <c r="R33" s="2" t="str">
        <f>IF(Table1[[#This Row],[Profit]]&gt;500,"Yes","No")</f>
        <v>Yes</v>
      </c>
    </row>
    <row r="34" spans="1:18" x14ac:dyDescent="0.35">
      <c r="A34" s="9" t="s">
        <v>249</v>
      </c>
      <c r="B34" s="4">
        <v>45797</v>
      </c>
      <c r="C34" s="2" t="s">
        <v>49</v>
      </c>
      <c r="D34" s="2">
        <v>8740</v>
      </c>
      <c r="E34" s="2" t="s">
        <v>24</v>
      </c>
      <c r="F34" s="2" t="s">
        <v>25</v>
      </c>
      <c r="G34" s="2" t="s">
        <v>26</v>
      </c>
      <c r="H34" s="5">
        <v>3</v>
      </c>
      <c r="I34" s="3">
        <v>423.03</v>
      </c>
      <c r="J34" s="3">
        <f t="shared" ref="J34:J65" si="7">H34*I34</f>
        <v>1269.0899999999999</v>
      </c>
      <c r="K34" s="3">
        <v>780.18</v>
      </c>
      <c r="L34" s="3">
        <f t="shared" ref="L34:L65" si="8">J34-K34</f>
        <v>488.90999999999997</v>
      </c>
      <c r="M34" s="4" t="str">
        <f t="shared" ref="M34:M65" si="9">TEXT(B34,"MMM")</f>
        <v>May</v>
      </c>
      <c r="N34" s="2" t="str">
        <f t="shared" ref="N34:N65" si="10">TEXT(B34,"YYYY")</f>
        <v>2025</v>
      </c>
      <c r="O34" s="2" t="str">
        <f t="shared" ref="O34:O65" si="11">TEXT(B34,"mmm-yyyy")</f>
        <v>May-2025</v>
      </c>
      <c r="P34" s="6">
        <f t="shared" ref="P34:P65" si="12">IF(H34=0,0,(L34/J34))</f>
        <v>0.38524454530411556</v>
      </c>
      <c r="Q34" s="3">
        <f t="shared" ref="Q34:Q65" si="13">J34/H34</f>
        <v>423.03</v>
      </c>
      <c r="R34" s="2" t="str">
        <f>IF(Table1[[#This Row],[Profit]]&gt;500,"Yes","No")</f>
        <v>No</v>
      </c>
    </row>
    <row r="35" spans="1:18" x14ac:dyDescent="0.35">
      <c r="A35" s="9" t="s">
        <v>416</v>
      </c>
      <c r="B35" s="4">
        <v>45797</v>
      </c>
      <c r="C35" s="2" t="s">
        <v>216</v>
      </c>
      <c r="D35" s="2">
        <v>3687</v>
      </c>
      <c r="E35" s="2" t="s">
        <v>17</v>
      </c>
      <c r="F35" s="2" t="s">
        <v>22</v>
      </c>
      <c r="G35" s="2" t="s">
        <v>28</v>
      </c>
      <c r="H35" s="5">
        <v>6</v>
      </c>
      <c r="I35" s="3">
        <v>459.89</v>
      </c>
      <c r="J35" s="3">
        <f t="shared" si="7"/>
        <v>2759.34</v>
      </c>
      <c r="K35" s="3">
        <v>2065.17</v>
      </c>
      <c r="L35" s="3">
        <f t="shared" si="8"/>
        <v>694.17000000000007</v>
      </c>
      <c r="M35" s="4" t="str">
        <f t="shared" si="9"/>
        <v>May</v>
      </c>
      <c r="N35" s="2" t="str">
        <f t="shared" si="10"/>
        <v>2025</v>
      </c>
      <c r="O35" s="2" t="str">
        <f t="shared" si="11"/>
        <v>May-2025</v>
      </c>
      <c r="P35" s="6">
        <f t="shared" si="12"/>
        <v>0.25157102785448693</v>
      </c>
      <c r="Q35" s="3">
        <f t="shared" si="13"/>
        <v>459.89000000000004</v>
      </c>
      <c r="R35" s="2" t="str">
        <f>IF(Table1[[#This Row],[Profit]]&gt;500,"Yes","No")</f>
        <v>Yes</v>
      </c>
    </row>
    <row r="36" spans="1:18" x14ac:dyDescent="0.35">
      <c r="A36" s="9" t="s">
        <v>367</v>
      </c>
      <c r="B36" s="4">
        <v>45795</v>
      </c>
      <c r="C36" s="2" t="s">
        <v>167</v>
      </c>
      <c r="D36" s="2">
        <v>9109</v>
      </c>
      <c r="E36" s="2" t="s">
        <v>13</v>
      </c>
      <c r="F36" s="2" t="s">
        <v>20</v>
      </c>
      <c r="G36" s="2" t="s">
        <v>27</v>
      </c>
      <c r="H36" s="5">
        <v>8</v>
      </c>
      <c r="I36" s="3">
        <v>470.56</v>
      </c>
      <c r="J36" s="3">
        <f t="shared" si="7"/>
        <v>3764.48</v>
      </c>
      <c r="K36" s="3">
        <v>3377.31</v>
      </c>
      <c r="L36" s="3">
        <f t="shared" si="8"/>
        <v>387.17000000000007</v>
      </c>
      <c r="M36" s="4" t="str">
        <f t="shared" si="9"/>
        <v>May</v>
      </c>
      <c r="N36" s="2" t="str">
        <f t="shared" si="10"/>
        <v>2025</v>
      </c>
      <c r="O36" s="2" t="str">
        <f t="shared" si="11"/>
        <v>May-2025</v>
      </c>
      <c r="P36" s="6">
        <f t="shared" si="12"/>
        <v>0.10284820214212854</v>
      </c>
      <c r="Q36" s="3">
        <f t="shared" si="13"/>
        <v>470.56</v>
      </c>
      <c r="R36" s="2" t="str">
        <f>IF(Table1[[#This Row],[Profit]]&gt;500,"Yes","No")</f>
        <v>No</v>
      </c>
    </row>
    <row r="37" spans="1:18" x14ac:dyDescent="0.35">
      <c r="A37" s="9" t="s">
        <v>241</v>
      </c>
      <c r="B37" s="4">
        <v>45791</v>
      </c>
      <c r="C37" s="2" t="s">
        <v>40</v>
      </c>
      <c r="D37" s="2">
        <v>6522</v>
      </c>
      <c r="E37" s="2" t="s">
        <v>24</v>
      </c>
      <c r="F37" s="2" t="s">
        <v>11</v>
      </c>
      <c r="G37" s="2" t="s">
        <v>12</v>
      </c>
      <c r="H37" s="5">
        <v>4</v>
      </c>
      <c r="I37" s="3">
        <v>114.93</v>
      </c>
      <c r="J37" s="3">
        <f t="shared" si="7"/>
        <v>459.72</v>
      </c>
      <c r="K37" s="3">
        <v>394.56</v>
      </c>
      <c r="L37" s="3">
        <f t="shared" si="8"/>
        <v>65.160000000000025</v>
      </c>
      <c r="M37" s="4" t="str">
        <f t="shared" si="9"/>
        <v>May</v>
      </c>
      <c r="N37" s="2" t="str">
        <f t="shared" si="10"/>
        <v>2025</v>
      </c>
      <c r="O37" s="2" t="str">
        <f t="shared" si="11"/>
        <v>May-2025</v>
      </c>
      <c r="P37" s="6">
        <f t="shared" si="12"/>
        <v>0.14173844949099457</v>
      </c>
      <c r="Q37" s="3">
        <f t="shared" si="13"/>
        <v>114.93</v>
      </c>
      <c r="R37" s="2" t="str">
        <f>IF(Table1[[#This Row],[Profit]]&gt;500,"Yes","No")</f>
        <v>No</v>
      </c>
    </row>
    <row r="38" spans="1:18" x14ac:dyDescent="0.35">
      <c r="A38" s="9" t="s">
        <v>251</v>
      </c>
      <c r="B38" s="4">
        <v>45790</v>
      </c>
      <c r="C38" s="2" t="s">
        <v>51</v>
      </c>
      <c r="D38" s="2">
        <v>6493</v>
      </c>
      <c r="E38" s="2" t="s">
        <v>17</v>
      </c>
      <c r="F38" s="2" t="s">
        <v>20</v>
      </c>
      <c r="G38" s="2" t="s">
        <v>27</v>
      </c>
      <c r="H38" s="5">
        <v>10</v>
      </c>
      <c r="I38" s="3">
        <v>402.81</v>
      </c>
      <c r="J38" s="3">
        <f t="shared" si="7"/>
        <v>4028.1</v>
      </c>
      <c r="K38" s="3">
        <v>2831.53</v>
      </c>
      <c r="L38" s="3">
        <f t="shared" si="8"/>
        <v>1196.5699999999997</v>
      </c>
      <c r="M38" s="4" t="str">
        <f t="shared" si="9"/>
        <v>May</v>
      </c>
      <c r="N38" s="2" t="str">
        <f t="shared" si="10"/>
        <v>2025</v>
      </c>
      <c r="O38" s="2" t="str">
        <f t="shared" si="11"/>
        <v>May-2025</v>
      </c>
      <c r="P38" s="6">
        <f t="shared" si="12"/>
        <v>0.29705568382115632</v>
      </c>
      <c r="Q38" s="3">
        <f t="shared" si="13"/>
        <v>402.81</v>
      </c>
      <c r="R38" s="2" t="str">
        <f>IF(Table1[[#This Row],[Profit]]&gt;500,"Yes","No")</f>
        <v>Yes</v>
      </c>
    </row>
    <row r="39" spans="1:18" x14ac:dyDescent="0.35">
      <c r="A39" s="9" t="s">
        <v>265</v>
      </c>
      <c r="B39" s="4">
        <v>45790</v>
      </c>
      <c r="C39" s="2" t="s">
        <v>65</v>
      </c>
      <c r="D39" s="2">
        <v>8109</v>
      </c>
      <c r="E39" s="2" t="s">
        <v>17</v>
      </c>
      <c r="F39" s="2" t="s">
        <v>20</v>
      </c>
      <c r="G39" s="2" t="s">
        <v>27</v>
      </c>
      <c r="H39" s="5">
        <v>9</v>
      </c>
      <c r="I39" s="3">
        <v>43</v>
      </c>
      <c r="J39" s="3">
        <f t="shared" si="7"/>
        <v>387</v>
      </c>
      <c r="K39" s="3">
        <v>345.22</v>
      </c>
      <c r="L39" s="3">
        <f t="shared" si="8"/>
        <v>41.779999999999973</v>
      </c>
      <c r="M39" s="4" t="str">
        <f t="shared" si="9"/>
        <v>May</v>
      </c>
      <c r="N39" s="2" t="str">
        <f t="shared" si="10"/>
        <v>2025</v>
      </c>
      <c r="O39" s="2" t="str">
        <f t="shared" si="11"/>
        <v>May-2025</v>
      </c>
      <c r="P39" s="6">
        <f t="shared" si="12"/>
        <v>0.10795865633074929</v>
      </c>
      <c r="Q39" s="3">
        <f t="shared" si="13"/>
        <v>43</v>
      </c>
      <c r="R39" s="2" t="str">
        <f>IF(Table1[[#This Row],[Profit]]&gt;500,"Yes","No")</f>
        <v>No</v>
      </c>
    </row>
    <row r="40" spans="1:18" x14ac:dyDescent="0.35">
      <c r="A40" s="9" t="s">
        <v>434</v>
      </c>
      <c r="B40" s="4">
        <v>45790</v>
      </c>
      <c r="C40" s="2" t="s">
        <v>234</v>
      </c>
      <c r="D40" s="2">
        <v>2354</v>
      </c>
      <c r="E40" s="2" t="s">
        <v>13</v>
      </c>
      <c r="F40" s="2" t="s">
        <v>25</v>
      </c>
      <c r="G40" s="2" t="s">
        <v>37</v>
      </c>
      <c r="H40" s="5">
        <v>6</v>
      </c>
      <c r="I40" s="3">
        <v>43.31</v>
      </c>
      <c r="J40" s="3">
        <f t="shared" si="7"/>
        <v>259.86</v>
      </c>
      <c r="K40" s="3">
        <v>200.93</v>
      </c>
      <c r="L40" s="3">
        <f t="shared" si="8"/>
        <v>58.930000000000007</v>
      </c>
      <c r="M40" s="4" t="str">
        <f t="shared" si="9"/>
        <v>May</v>
      </c>
      <c r="N40" s="2" t="str">
        <f t="shared" si="10"/>
        <v>2025</v>
      </c>
      <c r="O40" s="2" t="str">
        <f t="shared" si="11"/>
        <v>May-2025</v>
      </c>
      <c r="P40" s="6">
        <f t="shared" si="12"/>
        <v>0.22677595628415301</v>
      </c>
      <c r="Q40" s="3">
        <f t="shared" si="13"/>
        <v>43.31</v>
      </c>
      <c r="R40" s="2" t="str">
        <f>IF(Table1[[#This Row],[Profit]]&gt;500,"Yes","No")</f>
        <v>No</v>
      </c>
    </row>
    <row r="41" spans="1:18" x14ac:dyDescent="0.35">
      <c r="A41" s="9" t="s">
        <v>266</v>
      </c>
      <c r="B41" s="4">
        <v>45787</v>
      </c>
      <c r="C41" s="2" t="s">
        <v>66</v>
      </c>
      <c r="D41" s="2">
        <v>2767</v>
      </c>
      <c r="E41" s="2" t="s">
        <v>24</v>
      </c>
      <c r="F41" s="2" t="s">
        <v>11</v>
      </c>
      <c r="G41" s="2" t="s">
        <v>12</v>
      </c>
      <c r="H41" s="5">
        <v>8</v>
      </c>
      <c r="I41" s="3">
        <v>245.22</v>
      </c>
      <c r="J41" s="3">
        <f t="shared" si="7"/>
        <v>1961.76</v>
      </c>
      <c r="K41" s="3">
        <v>1503.36</v>
      </c>
      <c r="L41" s="3">
        <f t="shared" si="8"/>
        <v>458.40000000000009</v>
      </c>
      <c r="M41" s="4" t="str">
        <f t="shared" si="9"/>
        <v>May</v>
      </c>
      <c r="N41" s="2" t="str">
        <f t="shared" si="10"/>
        <v>2025</v>
      </c>
      <c r="O41" s="2" t="str">
        <f t="shared" si="11"/>
        <v>May-2025</v>
      </c>
      <c r="P41" s="6">
        <f t="shared" si="12"/>
        <v>0.23366772693907517</v>
      </c>
      <c r="Q41" s="3">
        <f t="shared" si="13"/>
        <v>245.22</v>
      </c>
      <c r="R41" s="2" t="str">
        <f>IF(Table1[[#This Row],[Profit]]&gt;500,"Yes","No")</f>
        <v>No</v>
      </c>
    </row>
    <row r="42" spans="1:18" x14ac:dyDescent="0.35">
      <c r="A42" s="9" t="s">
        <v>347</v>
      </c>
      <c r="B42" s="4">
        <v>45787</v>
      </c>
      <c r="C42" s="2" t="s">
        <v>147</v>
      </c>
      <c r="D42" s="2">
        <v>8308</v>
      </c>
      <c r="E42" s="2" t="s">
        <v>17</v>
      </c>
      <c r="F42" s="2" t="s">
        <v>25</v>
      </c>
      <c r="G42" s="2" t="s">
        <v>30</v>
      </c>
      <c r="H42" s="5">
        <v>6</v>
      </c>
      <c r="I42" s="3">
        <v>496.46</v>
      </c>
      <c r="J42" s="3">
        <f t="shared" si="7"/>
        <v>2978.7599999999998</v>
      </c>
      <c r="K42" s="3">
        <v>2062.66</v>
      </c>
      <c r="L42" s="3">
        <f t="shared" si="8"/>
        <v>916.09999999999991</v>
      </c>
      <c r="M42" s="4" t="str">
        <f t="shared" si="9"/>
        <v>May</v>
      </c>
      <c r="N42" s="2" t="str">
        <f t="shared" si="10"/>
        <v>2025</v>
      </c>
      <c r="O42" s="2" t="str">
        <f t="shared" si="11"/>
        <v>May-2025</v>
      </c>
      <c r="P42" s="6">
        <f t="shared" si="12"/>
        <v>0.30754407874417544</v>
      </c>
      <c r="Q42" s="3">
        <f t="shared" si="13"/>
        <v>496.46</v>
      </c>
      <c r="R42" s="2" t="str">
        <f>IF(Table1[[#This Row],[Profit]]&gt;500,"Yes","No")</f>
        <v>Yes</v>
      </c>
    </row>
    <row r="43" spans="1:18" x14ac:dyDescent="0.35">
      <c r="A43" s="9" t="s">
        <v>269</v>
      </c>
      <c r="B43" s="4">
        <v>45785</v>
      </c>
      <c r="C43" s="2" t="s">
        <v>69</v>
      </c>
      <c r="D43" s="2">
        <v>1823</v>
      </c>
      <c r="E43" s="2" t="s">
        <v>13</v>
      </c>
      <c r="F43" s="2" t="s">
        <v>25</v>
      </c>
      <c r="G43" s="2" t="s">
        <v>26</v>
      </c>
      <c r="H43" s="5">
        <v>5</v>
      </c>
      <c r="I43" s="3">
        <v>30.61</v>
      </c>
      <c r="J43" s="3">
        <f t="shared" si="7"/>
        <v>153.05000000000001</v>
      </c>
      <c r="K43" s="3">
        <v>106.65</v>
      </c>
      <c r="L43" s="3">
        <f t="shared" si="8"/>
        <v>46.400000000000006</v>
      </c>
      <c r="M43" s="4" t="str">
        <f t="shared" si="9"/>
        <v>May</v>
      </c>
      <c r="N43" s="2" t="str">
        <f t="shared" si="10"/>
        <v>2025</v>
      </c>
      <c r="O43" s="2" t="str">
        <f t="shared" si="11"/>
        <v>May-2025</v>
      </c>
      <c r="P43" s="6">
        <f t="shared" si="12"/>
        <v>0.3031688990525972</v>
      </c>
      <c r="Q43" s="3">
        <f t="shared" si="13"/>
        <v>30.610000000000003</v>
      </c>
      <c r="R43" s="2" t="str">
        <f>IF(Table1[[#This Row],[Profit]]&gt;500,"Yes","No")</f>
        <v>No</v>
      </c>
    </row>
    <row r="44" spans="1:18" x14ac:dyDescent="0.35">
      <c r="A44" s="9" t="s">
        <v>307</v>
      </c>
      <c r="B44" s="4">
        <v>45783</v>
      </c>
      <c r="C44" s="2" t="s">
        <v>107</v>
      </c>
      <c r="D44" s="2">
        <v>4036</v>
      </c>
      <c r="E44" s="2" t="s">
        <v>24</v>
      </c>
      <c r="F44" s="2" t="s">
        <v>15</v>
      </c>
      <c r="G44" s="2" t="s">
        <v>16</v>
      </c>
      <c r="H44" s="5">
        <v>8</v>
      </c>
      <c r="I44" s="3">
        <v>35.659999999999997</v>
      </c>
      <c r="J44" s="3">
        <f t="shared" si="7"/>
        <v>285.27999999999997</v>
      </c>
      <c r="K44" s="3">
        <v>253</v>
      </c>
      <c r="L44" s="3">
        <f t="shared" si="8"/>
        <v>32.279999999999973</v>
      </c>
      <c r="M44" s="4" t="str">
        <f t="shared" si="9"/>
        <v>May</v>
      </c>
      <c r="N44" s="2" t="str">
        <f t="shared" si="10"/>
        <v>2025</v>
      </c>
      <c r="O44" s="2" t="str">
        <f t="shared" si="11"/>
        <v>May-2025</v>
      </c>
      <c r="P44" s="6">
        <f t="shared" si="12"/>
        <v>0.11315199102635998</v>
      </c>
      <c r="Q44" s="3">
        <f t="shared" si="13"/>
        <v>35.659999999999997</v>
      </c>
      <c r="R44" s="2" t="str">
        <f>IF(Table1[[#This Row],[Profit]]&gt;500,"Yes","No")</f>
        <v>No</v>
      </c>
    </row>
    <row r="45" spans="1:18" x14ac:dyDescent="0.35">
      <c r="A45" s="9" t="s">
        <v>310</v>
      </c>
      <c r="B45" s="4">
        <v>45776</v>
      </c>
      <c r="C45" s="2" t="s">
        <v>110</v>
      </c>
      <c r="D45" s="2">
        <v>1926</v>
      </c>
      <c r="E45" s="2" t="s">
        <v>24</v>
      </c>
      <c r="F45" s="2" t="s">
        <v>15</v>
      </c>
      <c r="G45" s="2" t="s">
        <v>19</v>
      </c>
      <c r="H45" s="5">
        <v>6</v>
      </c>
      <c r="I45" s="3">
        <v>127.83</v>
      </c>
      <c r="J45" s="3">
        <f t="shared" si="7"/>
        <v>766.98</v>
      </c>
      <c r="K45" s="3">
        <v>596.88</v>
      </c>
      <c r="L45" s="3">
        <f t="shared" si="8"/>
        <v>170.10000000000002</v>
      </c>
      <c r="M45" s="4" t="str">
        <f t="shared" si="9"/>
        <v>Apr</v>
      </c>
      <c r="N45" s="2" t="str">
        <f t="shared" si="10"/>
        <v>2025</v>
      </c>
      <c r="O45" s="2" t="str">
        <f t="shared" si="11"/>
        <v>Apr-2025</v>
      </c>
      <c r="P45" s="6">
        <f t="shared" si="12"/>
        <v>0.22177892513494488</v>
      </c>
      <c r="Q45" s="3">
        <f t="shared" si="13"/>
        <v>127.83</v>
      </c>
      <c r="R45" s="2" t="str">
        <f>IF(Table1[[#This Row],[Profit]]&gt;500,"Yes","No")</f>
        <v>No</v>
      </c>
    </row>
    <row r="46" spans="1:18" x14ac:dyDescent="0.35">
      <c r="A46" s="9" t="s">
        <v>373</v>
      </c>
      <c r="B46" s="4">
        <v>45776</v>
      </c>
      <c r="C46" s="2" t="s">
        <v>173</v>
      </c>
      <c r="D46" s="2">
        <v>8676</v>
      </c>
      <c r="E46" s="2" t="s">
        <v>10</v>
      </c>
      <c r="F46" s="2" t="s">
        <v>15</v>
      </c>
      <c r="G46" s="2" t="s">
        <v>19</v>
      </c>
      <c r="H46" s="5">
        <v>2</v>
      </c>
      <c r="I46" s="3">
        <v>300.44</v>
      </c>
      <c r="J46" s="3">
        <f t="shared" si="7"/>
        <v>600.88</v>
      </c>
      <c r="K46" s="3">
        <v>508.28</v>
      </c>
      <c r="L46" s="3">
        <f t="shared" si="8"/>
        <v>92.600000000000023</v>
      </c>
      <c r="M46" s="4" t="str">
        <f t="shared" si="9"/>
        <v>Apr</v>
      </c>
      <c r="N46" s="2" t="str">
        <f t="shared" si="10"/>
        <v>2025</v>
      </c>
      <c r="O46" s="2" t="str">
        <f t="shared" si="11"/>
        <v>Apr-2025</v>
      </c>
      <c r="P46" s="6">
        <f t="shared" si="12"/>
        <v>0.1541073092797231</v>
      </c>
      <c r="Q46" s="3">
        <f t="shared" si="13"/>
        <v>300.44</v>
      </c>
      <c r="R46" s="2" t="str">
        <f>IF(Table1[[#This Row],[Profit]]&gt;500,"Yes","No")</f>
        <v>No</v>
      </c>
    </row>
    <row r="47" spans="1:18" x14ac:dyDescent="0.35">
      <c r="A47" s="9" t="s">
        <v>289</v>
      </c>
      <c r="B47" s="4">
        <v>45774</v>
      </c>
      <c r="C47" s="2" t="s">
        <v>89</v>
      </c>
      <c r="D47" s="2">
        <v>9167</v>
      </c>
      <c r="E47" s="2" t="s">
        <v>13</v>
      </c>
      <c r="F47" s="2" t="s">
        <v>15</v>
      </c>
      <c r="G47" s="2" t="s">
        <v>16</v>
      </c>
      <c r="H47" s="5">
        <v>7</v>
      </c>
      <c r="I47" s="3">
        <v>81.45</v>
      </c>
      <c r="J47" s="3">
        <f t="shared" si="7"/>
        <v>570.15</v>
      </c>
      <c r="K47" s="3">
        <v>390.88</v>
      </c>
      <c r="L47" s="3">
        <f t="shared" si="8"/>
        <v>179.26999999999998</v>
      </c>
      <c r="M47" s="4" t="str">
        <f t="shared" si="9"/>
        <v>Apr</v>
      </c>
      <c r="N47" s="2" t="str">
        <f t="shared" si="10"/>
        <v>2025</v>
      </c>
      <c r="O47" s="2" t="str">
        <f t="shared" si="11"/>
        <v>Apr-2025</v>
      </c>
      <c r="P47" s="6">
        <f t="shared" si="12"/>
        <v>0.31442602823818294</v>
      </c>
      <c r="Q47" s="3">
        <f t="shared" si="13"/>
        <v>81.45</v>
      </c>
      <c r="R47" s="2" t="str">
        <f>IF(Table1[[#This Row],[Profit]]&gt;500,"Yes","No")</f>
        <v>No</v>
      </c>
    </row>
    <row r="48" spans="1:18" x14ac:dyDescent="0.35">
      <c r="A48" s="9" t="s">
        <v>254</v>
      </c>
      <c r="B48" s="4">
        <v>45773</v>
      </c>
      <c r="C48" s="2" t="s">
        <v>54</v>
      </c>
      <c r="D48" s="2">
        <v>4614</v>
      </c>
      <c r="E48" s="2" t="s">
        <v>13</v>
      </c>
      <c r="F48" s="2" t="s">
        <v>20</v>
      </c>
      <c r="G48" s="2" t="s">
        <v>21</v>
      </c>
      <c r="H48" s="5">
        <v>9</v>
      </c>
      <c r="I48" s="3">
        <v>359.08</v>
      </c>
      <c r="J48" s="3">
        <f t="shared" si="7"/>
        <v>3231.72</v>
      </c>
      <c r="K48" s="3">
        <v>2060.52</v>
      </c>
      <c r="L48" s="3">
        <f t="shared" si="8"/>
        <v>1171.1999999999998</v>
      </c>
      <c r="M48" s="4" t="str">
        <f t="shared" si="9"/>
        <v>Apr</v>
      </c>
      <c r="N48" s="2" t="str">
        <f t="shared" si="10"/>
        <v>2025</v>
      </c>
      <c r="O48" s="2" t="str">
        <f t="shared" si="11"/>
        <v>Apr-2025</v>
      </c>
      <c r="P48" s="6">
        <f t="shared" si="12"/>
        <v>0.36240763432475581</v>
      </c>
      <c r="Q48" s="3">
        <f t="shared" si="13"/>
        <v>359.08</v>
      </c>
      <c r="R48" s="2" t="str">
        <f>IF(Table1[[#This Row],[Profit]]&gt;500,"Yes","No")</f>
        <v>Yes</v>
      </c>
    </row>
    <row r="49" spans="1:18" x14ac:dyDescent="0.35">
      <c r="A49" s="9" t="s">
        <v>356</v>
      </c>
      <c r="B49" s="4">
        <v>45773</v>
      </c>
      <c r="C49" s="2" t="s">
        <v>156</v>
      </c>
      <c r="D49" s="2">
        <v>7306</v>
      </c>
      <c r="E49" s="2" t="s">
        <v>17</v>
      </c>
      <c r="F49" s="2" t="s">
        <v>20</v>
      </c>
      <c r="G49" s="2" t="s">
        <v>27</v>
      </c>
      <c r="H49" s="5">
        <v>3</v>
      </c>
      <c r="I49" s="3">
        <v>86.57</v>
      </c>
      <c r="J49" s="3">
        <f t="shared" si="7"/>
        <v>259.70999999999998</v>
      </c>
      <c r="K49" s="3">
        <v>181.25</v>
      </c>
      <c r="L49" s="3">
        <f t="shared" si="8"/>
        <v>78.45999999999998</v>
      </c>
      <c r="M49" s="4" t="str">
        <f t="shared" si="9"/>
        <v>Apr</v>
      </c>
      <c r="N49" s="2" t="str">
        <f t="shared" si="10"/>
        <v>2025</v>
      </c>
      <c r="O49" s="2" t="str">
        <f t="shared" si="11"/>
        <v>Apr-2025</v>
      </c>
      <c r="P49" s="6">
        <f t="shared" si="12"/>
        <v>0.30210619537176076</v>
      </c>
      <c r="Q49" s="3">
        <f t="shared" si="13"/>
        <v>86.57</v>
      </c>
      <c r="R49" s="2" t="str">
        <f>IF(Table1[[#This Row],[Profit]]&gt;500,"Yes","No")</f>
        <v>No</v>
      </c>
    </row>
    <row r="50" spans="1:18" x14ac:dyDescent="0.35">
      <c r="A50" s="9" t="s">
        <v>432</v>
      </c>
      <c r="B50" s="4">
        <v>45773</v>
      </c>
      <c r="C50" s="2" t="s">
        <v>232</v>
      </c>
      <c r="D50" s="2">
        <v>6521</v>
      </c>
      <c r="E50" s="2" t="s">
        <v>17</v>
      </c>
      <c r="F50" s="2" t="s">
        <v>25</v>
      </c>
      <c r="G50" s="2" t="s">
        <v>30</v>
      </c>
      <c r="H50" s="5">
        <v>1</v>
      </c>
      <c r="I50" s="3">
        <v>402.24</v>
      </c>
      <c r="J50" s="3">
        <f t="shared" si="7"/>
        <v>402.24</v>
      </c>
      <c r="K50" s="3">
        <v>340.22</v>
      </c>
      <c r="L50" s="3">
        <f t="shared" si="8"/>
        <v>62.019999999999982</v>
      </c>
      <c r="M50" s="4" t="str">
        <f t="shared" si="9"/>
        <v>Apr</v>
      </c>
      <c r="N50" s="2" t="str">
        <f t="shared" si="10"/>
        <v>2025</v>
      </c>
      <c r="O50" s="2" t="str">
        <f t="shared" si="11"/>
        <v>Apr-2025</v>
      </c>
      <c r="P50" s="6">
        <f t="shared" si="12"/>
        <v>0.15418655529037387</v>
      </c>
      <c r="Q50" s="3">
        <f t="shared" si="13"/>
        <v>402.24</v>
      </c>
      <c r="R50" s="2" t="str">
        <f>IF(Table1[[#This Row],[Profit]]&gt;500,"Yes","No")</f>
        <v>No</v>
      </c>
    </row>
    <row r="51" spans="1:18" x14ac:dyDescent="0.35">
      <c r="A51" s="9" t="s">
        <v>436</v>
      </c>
      <c r="B51" s="4">
        <v>45772</v>
      </c>
      <c r="C51" s="2" t="s">
        <v>236</v>
      </c>
      <c r="D51" s="2">
        <v>9059</v>
      </c>
      <c r="E51" s="2" t="s">
        <v>24</v>
      </c>
      <c r="F51" s="2" t="s">
        <v>11</v>
      </c>
      <c r="G51" s="2" t="s">
        <v>38</v>
      </c>
      <c r="H51" s="5">
        <v>2</v>
      </c>
      <c r="I51" s="3">
        <v>317.10000000000002</v>
      </c>
      <c r="J51" s="3">
        <f t="shared" si="7"/>
        <v>634.20000000000005</v>
      </c>
      <c r="K51" s="3">
        <v>524.83000000000004</v>
      </c>
      <c r="L51" s="3">
        <f t="shared" si="8"/>
        <v>109.37</v>
      </c>
      <c r="M51" s="4" t="str">
        <f t="shared" si="9"/>
        <v>Apr</v>
      </c>
      <c r="N51" s="2" t="str">
        <f t="shared" si="10"/>
        <v>2025</v>
      </c>
      <c r="O51" s="2" t="str">
        <f t="shared" si="11"/>
        <v>Apr-2025</v>
      </c>
      <c r="P51" s="6">
        <f t="shared" si="12"/>
        <v>0.17245348470514033</v>
      </c>
      <c r="Q51" s="3">
        <f t="shared" si="13"/>
        <v>317.10000000000002</v>
      </c>
      <c r="R51" s="2" t="str">
        <f>IF(Table1[[#This Row],[Profit]]&gt;500,"Yes","No")</f>
        <v>No</v>
      </c>
    </row>
    <row r="52" spans="1:18" x14ac:dyDescent="0.35">
      <c r="A52" s="9" t="s">
        <v>421</v>
      </c>
      <c r="B52" s="4">
        <v>45770</v>
      </c>
      <c r="C52" s="2" t="s">
        <v>221</v>
      </c>
      <c r="D52" s="2">
        <v>7534</v>
      </c>
      <c r="E52" s="2" t="s">
        <v>17</v>
      </c>
      <c r="F52" s="2" t="s">
        <v>20</v>
      </c>
      <c r="G52" s="2" t="s">
        <v>35</v>
      </c>
      <c r="H52" s="5">
        <v>7</v>
      </c>
      <c r="I52" s="3">
        <v>207.51</v>
      </c>
      <c r="J52" s="3">
        <f t="shared" si="7"/>
        <v>1452.57</v>
      </c>
      <c r="K52" s="3">
        <v>883.77</v>
      </c>
      <c r="L52" s="3">
        <f t="shared" si="8"/>
        <v>568.79999999999995</v>
      </c>
      <c r="M52" s="4" t="str">
        <f t="shared" si="9"/>
        <v>Apr</v>
      </c>
      <c r="N52" s="2" t="str">
        <f t="shared" si="10"/>
        <v>2025</v>
      </c>
      <c r="O52" s="2" t="str">
        <f t="shared" si="11"/>
        <v>Apr-2025</v>
      </c>
      <c r="P52" s="6">
        <f t="shared" si="12"/>
        <v>0.39158181705528822</v>
      </c>
      <c r="Q52" s="3">
        <f t="shared" si="13"/>
        <v>207.51</v>
      </c>
      <c r="R52" s="2" t="str">
        <f>IF(Table1[[#This Row],[Profit]]&gt;500,"Yes","No")</f>
        <v>Yes</v>
      </c>
    </row>
    <row r="53" spans="1:18" x14ac:dyDescent="0.35">
      <c r="A53" s="9" t="s">
        <v>331</v>
      </c>
      <c r="B53" s="4">
        <v>45768</v>
      </c>
      <c r="C53" s="2" t="s">
        <v>131</v>
      </c>
      <c r="D53" s="2">
        <v>8605</v>
      </c>
      <c r="E53" s="2" t="s">
        <v>13</v>
      </c>
      <c r="F53" s="2" t="s">
        <v>20</v>
      </c>
      <c r="G53" s="2" t="s">
        <v>27</v>
      </c>
      <c r="H53" s="5">
        <v>7</v>
      </c>
      <c r="I53" s="3">
        <v>407.39</v>
      </c>
      <c r="J53" s="3">
        <f t="shared" si="7"/>
        <v>2851.73</v>
      </c>
      <c r="K53" s="3">
        <v>1743.85</v>
      </c>
      <c r="L53" s="3">
        <f t="shared" si="8"/>
        <v>1107.8800000000001</v>
      </c>
      <c r="M53" s="4" t="str">
        <f t="shared" si="9"/>
        <v>Apr</v>
      </c>
      <c r="N53" s="2" t="str">
        <f t="shared" si="10"/>
        <v>2025</v>
      </c>
      <c r="O53" s="2" t="str">
        <f t="shared" si="11"/>
        <v>Apr-2025</v>
      </c>
      <c r="P53" s="6">
        <f t="shared" si="12"/>
        <v>0.38849400188657413</v>
      </c>
      <c r="Q53" s="3">
        <f t="shared" si="13"/>
        <v>407.39</v>
      </c>
      <c r="R53" s="2" t="str">
        <f>IF(Table1[[#This Row],[Profit]]&gt;500,"Yes","No")</f>
        <v>Yes</v>
      </c>
    </row>
    <row r="54" spans="1:18" x14ac:dyDescent="0.35">
      <c r="A54" s="9" t="s">
        <v>338</v>
      </c>
      <c r="B54" s="4">
        <v>45768</v>
      </c>
      <c r="C54" s="2" t="s">
        <v>138</v>
      </c>
      <c r="D54" s="2">
        <v>8538</v>
      </c>
      <c r="E54" s="2" t="s">
        <v>10</v>
      </c>
      <c r="F54" s="2" t="s">
        <v>25</v>
      </c>
      <c r="G54" s="2" t="s">
        <v>37</v>
      </c>
      <c r="H54" s="5">
        <v>7</v>
      </c>
      <c r="I54" s="3">
        <v>131.71</v>
      </c>
      <c r="J54" s="3">
        <f t="shared" si="7"/>
        <v>921.97</v>
      </c>
      <c r="K54" s="3">
        <v>755.72</v>
      </c>
      <c r="L54" s="3">
        <f t="shared" si="8"/>
        <v>166.25</v>
      </c>
      <c r="M54" s="4" t="str">
        <f t="shared" si="9"/>
        <v>Apr</v>
      </c>
      <c r="N54" s="2" t="str">
        <f t="shared" si="10"/>
        <v>2025</v>
      </c>
      <c r="O54" s="2" t="str">
        <f t="shared" si="11"/>
        <v>Apr-2025</v>
      </c>
      <c r="P54" s="6">
        <f t="shared" si="12"/>
        <v>0.18032040088072279</v>
      </c>
      <c r="Q54" s="3">
        <f t="shared" si="13"/>
        <v>131.71</v>
      </c>
      <c r="R54" s="2" t="str">
        <f>IF(Table1[[#This Row],[Profit]]&gt;500,"Yes","No")</f>
        <v>No</v>
      </c>
    </row>
    <row r="55" spans="1:18" x14ac:dyDescent="0.35">
      <c r="A55" s="9" t="s">
        <v>427</v>
      </c>
      <c r="B55" s="4">
        <v>45768</v>
      </c>
      <c r="C55" s="2" t="s">
        <v>227</v>
      </c>
      <c r="D55" s="2">
        <v>6016</v>
      </c>
      <c r="E55" s="2" t="s">
        <v>13</v>
      </c>
      <c r="F55" s="2" t="s">
        <v>22</v>
      </c>
      <c r="G55" s="2" t="s">
        <v>23</v>
      </c>
      <c r="H55" s="5">
        <v>3</v>
      </c>
      <c r="I55" s="3">
        <v>183.04</v>
      </c>
      <c r="J55" s="3">
        <f t="shared" si="7"/>
        <v>549.12</v>
      </c>
      <c r="K55" s="3">
        <v>383.3</v>
      </c>
      <c r="L55" s="3">
        <f t="shared" si="8"/>
        <v>165.82</v>
      </c>
      <c r="M55" s="4" t="str">
        <f t="shared" si="9"/>
        <v>Apr</v>
      </c>
      <c r="N55" s="2" t="str">
        <f t="shared" si="10"/>
        <v>2025</v>
      </c>
      <c r="O55" s="2" t="str">
        <f t="shared" si="11"/>
        <v>Apr-2025</v>
      </c>
      <c r="P55" s="6">
        <f t="shared" si="12"/>
        <v>0.30197406759906759</v>
      </c>
      <c r="Q55" s="3">
        <f t="shared" si="13"/>
        <v>183.04</v>
      </c>
      <c r="R55" s="2" t="str">
        <f>IF(Table1[[#This Row],[Profit]]&gt;500,"Yes","No")</f>
        <v>No</v>
      </c>
    </row>
    <row r="56" spans="1:18" x14ac:dyDescent="0.35">
      <c r="A56" s="9" t="s">
        <v>240</v>
      </c>
      <c r="B56" s="4">
        <v>45767</v>
      </c>
      <c r="C56" s="2" t="s">
        <v>41</v>
      </c>
      <c r="D56" s="2">
        <v>5838</v>
      </c>
      <c r="E56" s="2" t="s">
        <v>10</v>
      </c>
      <c r="F56" s="2" t="s">
        <v>11</v>
      </c>
      <c r="G56" s="2" t="s">
        <v>14</v>
      </c>
      <c r="H56" s="5">
        <v>4</v>
      </c>
      <c r="I56" s="3">
        <v>159.53</v>
      </c>
      <c r="J56" s="3">
        <f t="shared" si="7"/>
        <v>638.12</v>
      </c>
      <c r="K56" s="3">
        <v>471.6</v>
      </c>
      <c r="L56" s="3">
        <f t="shared" si="8"/>
        <v>166.51999999999998</v>
      </c>
      <c r="M56" s="4" t="str">
        <f t="shared" si="9"/>
        <v>Apr</v>
      </c>
      <c r="N56" s="2" t="str">
        <f t="shared" si="10"/>
        <v>2025</v>
      </c>
      <c r="O56" s="2" t="str">
        <f t="shared" si="11"/>
        <v>Apr-2025</v>
      </c>
      <c r="P56" s="6">
        <f t="shared" si="12"/>
        <v>0.26095405252930481</v>
      </c>
      <c r="Q56" s="3">
        <f t="shared" si="13"/>
        <v>159.53</v>
      </c>
      <c r="R56" s="2" t="str">
        <f>IF(Table1[[#This Row],[Profit]]&gt;500,"Yes","No")</f>
        <v>No</v>
      </c>
    </row>
    <row r="57" spans="1:18" x14ac:dyDescent="0.35">
      <c r="A57" s="9" t="s">
        <v>420</v>
      </c>
      <c r="B57" s="4">
        <v>45765</v>
      </c>
      <c r="C57" s="2" t="s">
        <v>220</v>
      </c>
      <c r="D57" s="2">
        <v>4384</v>
      </c>
      <c r="E57" s="2" t="s">
        <v>13</v>
      </c>
      <c r="F57" s="2" t="s">
        <v>22</v>
      </c>
      <c r="G57" s="2" t="s">
        <v>23</v>
      </c>
      <c r="H57" s="5">
        <v>8</v>
      </c>
      <c r="I57" s="3">
        <v>274.31</v>
      </c>
      <c r="J57" s="3">
        <f t="shared" si="7"/>
        <v>2194.48</v>
      </c>
      <c r="K57" s="3">
        <v>1864.11</v>
      </c>
      <c r="L57" s="3">
        <f t="shared" si="8"/>
        <v>330.37000000000012</v>
      </c>
      <c r="M57" s="4" t="str">
        <f t="shared" si="9"/>
        <v>Apr</v>
      </c>
      <c r="N57" s="2" t="str">
        <f t="shared" si="10"/>
        <v>2025</v>
      </c>
      <c r="O57" s="2" t="str">
        <f t="shared" si="11"/>
        <v>Apr-2025</v>
      </c>
      <c r="P57" s="6">
        <f t="shared" si="12"/>
        <v>0.15054591520542457</v>
      </c>
      <c r="Q57" s="3">
        <f t="shared" si="13"/>
        <v>274.31</v>
      </c>
      <c r="R57" s="2" t="str">
        <f>IF(Table1[[#This Row],[Profit]]&gt;500,"Yes","No")</f>
        <v>No</v>
      </c>
    </row>
    <row r="58" spans="1:18" x14ac:dyDescent="0.35">
      <c r="A58" s="9" t="s">
        <v>363</v>
      </c>
      <c r="B58" s="4">
        <v>45764</v>
      </c>
      <c r="C58" s="2" t="s">
        <v>163</v>
      </c>
      <c r="D58" s="2">
        <v>3658</v>
      </c>
      <c r="E58" s="2" t="s">
        <v>17</v>
      </c>
      <c r="F58" s="2" t="s">
        <v>11</v>
      </c>
      <c r="G58" s="2" t="s">
        <v>14</v>
      </c>
      <c r="H58" s="5">
        <v>9</v>
      </c>
      <c r="I58" s="3">
        <v>244.04</v>
      </c>
      <c r="J58" s="3">
        <f t="shared" si="7"/>
        <v>2196.36</v>
      </c>
      <c r="K58" s="3">
        <v>1597</v>
      </c>
      <c r="L58" s="3">
        <f t="shared" si="8"/>
        <v>599.36000000000013</v>
      </c>
      <c r="M58" s="4" t="str">
        <f t="shared" si="9"/>
        <v>Apr</v>
      </c>
      <c r="N58" s="2" t="str">
        <f t="shared" si="10"/>
        <v>2025</v>
      </c>
      <c r="O58" s="2" t="str">
        <f t="shared" si="11"/>
        <v>Apr-2025</v>
      </c>
      <c r="P58" s="6">
        <f t="shared" si="12"/>
        <v>0.27288786901965073</v>
      </c>
      <c r="Q58" s="3">
        <f t="shared" si="13"/>
        <v>244.04000000000002</v>
      </c>
      <c r="R58" s="2" t="str">
        <f>IF(Table1[[#This Row],[Profit]]&gt;500,"Yes","No")</f>
        <v>Yes</v>
      </c>
    </row>
    <row r="59" spans="1:18" x14ac:dyDescent="0.35">
      <c r="A59" s="9" t="s">
        <v>332</v>
      </c>
      <c r="B59" s="4">
        <v>45761</v>
      </c>
      <c r="C59" s="2" t="s">
        <v>132</v>
      </c>
      <c r="D59" s="2">
        <v>5069</v>
      </c>
      <c r="E59" s="2" t="s">
        <v>24</v>
      </c>
      <c r="F59" s="2" t="s">
        <v>20</v>
      </c>
      <c r="G59" s="2" t="s">
        <v>27</v>
      </c>
      <c r="H59" s="5">
        <v>5</v>
      </c>
      <c r="I59" s="3">
        <v>378.74</v>
      </c>
      <c r="J59" s="3">
        <f t="shared" si="7"/>
        <v>1893.7</v>
      </c>
      <c r="K59" s="3">
        <v>1302.9100000000001</v>
      </c>
      <c r="L59" s="3">
        <f t="shared" si="8"/>
        <v>590.79</v>
      </c>
      <c r="M59" s="4" t="str">
        <f t="shared" si="9"/>
        <v>Apr</v>
      </c>
      <c r="N59" s="2" t="str">
        <f t="shared" si="10"/>
        <v>2025</v>
      </c>
      <c r="O59" s="2" t="str">
        <f t="shared" si="11"/>
        <v>Apr-2025</v>
      </c>
      <c r="P59" s="6">
        <f t="shared" si="12"/>
        <v>0.31197655383640488</v>
      </c>
      <c r="Q59" s="3">
        <f t="shared" si="13"/>
        <v>378.74</v>
      </c>
      <c r="R59" s="2" t="str">
        <f>IF(Table1[[#This Row],[Profit]]&gt;500,"Yes","No")</f>
        <v>Yes</v>
      </c>
    </row>
    <row r="60" spans="1:18" x14ac:dyDescent="0.35">
      <c r="A60" s="9" t="s">
        <v>299</v>
      </c>
      <c r="B60" s="4">
        <v>45759</v>
      </c>
      <c r="C60" s="2" t="s">
        <v>99</v>
      </c>
      <c r="D60" s="2">
        <v>5713</v>
      </c>
      <c r="E60" s="2" t="s">
        <v>10</v>
      </c>
      <c r="F60" s="2" t="s">
        <v>20</v>
      </c>
      <c r="G60" s="2" t="s">
        <v>35</v>
      </c>
      <c r="H60" s="5">
        <v>2</v>
      </c>
      <c r="I60" s="3">
        <v>31.42</v>
      </c>
      <c r="J60" s="3">
        <f t="shared" si="7"/>
        <v>62.84</v>
      </c>
      <c r="K60" s="3">
        <v>39.53</v>
      </c>
      <c r="L60" s="3">
        <f t="shared" si="8"/>
        <v>23.310000000000002</v>
      </c>
      <c r="M60" s="4" t="str">
        <f t="shared" si="9"/>
        <v>Apr</v>
      </c>
      <c r="N60" s="2" t="str">
        <f t="shared" si="10"/>
        <v>2025</v>
      </c>
      <c r="O60" s="2" t="str">
        <f t="shared" si="11"/>
        <v>Apr-2025</v>
      </c>
      <c r="P60" s="6">
        <f t="shared" si="12"/>
        <v>0.37094207511139404</v>
      </c>
      <c r="Q60" s="3">
        <f t="shared" si="13"/>
        <v>31.42</v>
      </c>
      <c r="R60" s="2" t="str">
        <f>IF(Table1[[#This Row],[Profit]]&gt;500,"Yes","No")</f>
        <v>No</v>
      </c>
    </row>
    <row r="61" spans="1:18" x14ac:dyDescent="0.35">
      <c r="A61" s="9" t="s">
        <v>304</v>
      </c>
      <c r="B61" s="4">
        <v>45757</v>
      </c>
      <c r="C61" s="2" t="s">
        <v>104</v>
      </c>
      <c r="D61" s="2">
        <v>3101</v>
      </c>
      <c r="E61" s="2" t="s">
        <v>24</v>
      </c>
      <c r="F61" s="2" t="s">
        <v>22</v>
      </c>
      <c r="G61" s="2" t="s">
        <v>23</v>
      </c>
      <c r="H61" s="5">
        <v>2</v>
      </c>
      <c r="I61" s="3">
        <v>112.84</v>
      </c>
      <c r="J61" s="3">
        <f t="shared" si="7"/>
        <v>225.68</v>
      </c>
      <c r="K61" s="3">
        <v>168.35</v>
      </c>
      <c r="L61" s="3">
        <f t="shared" si="8"/>
        <v>57.330000000000013</v>
      </c>
      <c r="M61" s="4" t="str">
        <f t="shared" si="9"/>
        <v>Apr</v>
      </c>
      <c r="N61" s="2" t="str">
        <f t="shared" si="10"/>
        <v>2025</v>
      </c>
      <c r="O61" s="2" t="str">
        <f t="shared" si="11"/>
        <v>Apr-2025</v>
      </c>
      <c r="P61" s="6">
        <f t="shared" si="12"/>
        <v>0.25403225806451618</v>
      </c>
      <c r="Q61" s="3">
        <f t="shared" si="13"/>
        <v>112.84</v>
      </c>
      <c r="R61" s="2" t="str">
        <f>IF(Table1[[#This Row],[Profit]]&gt;500,"Yes","No")</f>
        <v>No</v>
      </c>
    </row>
    <row r="62" spans="1:18" x14ac:dyDescent="0.35">
      <c r="A62" s="9" t="s">
        <v>248</v>
      </c>
      <c r="B62" s="4">
        <v>45755</v>
      </c>
      <c r="C62" s="2" t="s">
        <v>48</v>
      </c>
      <c r="D62" s="2">
        <v>3869</v>
      </c>
      <c r="E62" s="2" t="s">
        <v>13</v>
      </c>
      <c r="F62" s="2" t="s">
        <v>22</v>
      </c>
      <c r="G62" s="2" t="s">
        <v>23</v>
      </c>
      <c r="H62" s="5">
        <v>8</v>
      </c>
      <c r="I62" s="3">
        <v>39.04</v>
      </c>
      <c r="J62" s="3">
        <f t="shared" si="7"/>
        <v>312.32</v>
      </c>
      <c r="K62" s="3">
        <v>280.72000000000003</v>
      </c>
      <c r="L62" s="3">
        <f t="shared" si="8"/>
        <v>31.599999999999966</v>
      </c>
      <c r="M62" s="4" t="str">
        <f t="shared" si="9"/>
        <v>Apr</v>
      </c>
      <c r="N62" s="2" t="str">
        <f t="shared" si="10"/>
        <v>2025</v>
      </c>
      <c r="O62" s="2" t="str">
        <f t="shared" si="11"/>
        <v>Apr-2025</v>
      </c>
      <c r="P62" s="6">
        <f t="shared" si="12"/>
        <v>0.10117827868852448</v>
      </c>
      <c r="Q62" s="3">
        <f t="shared" si="13"/>
        <v>39.04</v>
      </c>
      <c r="R62" s="2" t="str">
        <f>IF(Table1[[#This Row],[Profit]]&gt;500,"Yes","No")</f>
        <v>No</v>
      </c>
    </row>
    <row r="63" spans="1:18" x14ac:dyDescent="0.35">
      <c r="A63" s="9" t="s">
        <v>382</v>
      </c>
      <c r="B63" s="4">
        <v>45755</v>
      </c>
      <c r="C63" s="2" t="s">
        <v>182</v>
      </c>
      <c r="D63" s="2">
        <v>8799</v>
      </c>
      <c r="E63" s="2" t="s">
        <v>17</v>
      </c>
      <c r="F63" s="2" t="s">
        <v>15</v>
      </c>
      <c r="G63" s="2" t="s">
        <v>36</v>
      </c>
      <c r="H63" s="5">
        <v>6</v>
      </c>
      <c r="I63" s="3">
        <v>336.83</v>
      </c>
      <c r="J63" s="3">
        <f t="shared" si="7"/>
        <v>2020.98</v>
      </c>
      <c r="K63" s="3">
        <v>1724.22</v>
      </c>
      <c r="L63" s="3">
        <f t="shared" si="8"/>
        <v>296.76</v>
      </c>
      <c r="M63" s="4" t="str">
        <f t="shared" si="9"/>
        <v>Apr</v>
      </c>
      <c r="N63" s="2" t="str">
        <f t="shared" si="10"/>
        <v>2025</v>
      </c>
      <c r="O63" s="2" t="str">
        <f t="shared" si="11"/>
        <v>Apr-2025</v>
      </c>
      <c r="P63" s="6">
        <f t="shared" si="12"/>
        <v>0.14683965204999555</v>
      </c>
      <c r="Q63" s="3">
        <f t="shared" si="13"/>
        <v>336.83</v>
      </c>
      <c r="R63" s="2" t="str">
        <f>IF(Table1[[#This Row],[Profit]]&gt;500,"Yes","No")</f>
        <v>No</v>
      </c>
    </row>
    <row r="64" spans="1:18" x14ac:dyDescent="0.35">
      <c r="A64" s="9" t="s">
        <v>389</v>
      </c>
      <c r="B64" s="4">
        <v>45754</v>
      </c>
      <c r="C64" s="2" t="s">
        <v>189</v>
      </c>
      <c r="D64" s="2">
        <v>2595</v>
      </c>
      <c r="E64" s="2" t="s">
        <v>17</v>
      </c>
      <c r="F64" s="2" t="s">
        <v>22</v>
      </c>
      <c r="G64" s="2" t="s">
        <v>28</v>
      </c>
      <c r="H64" s="5">
        <v>9</v>
      </c>
      <c r="I64" s="3">
        <v>267.12</v>
      </c>
      <c r="J64" s="3">
        <f t="shared" si="7"/>
        <v>2404.08</v>
      </c>
      <c r="K64" s="3">
        <v>2005.81</v>
      </c>
      <c r="L64" s="3">
        <f t="shared" si="8"/>
        <v>398.27</v>
      </c>
      <c r="M64" s="4" t="str">
        <f t="shared" si="9"/>
        <v>Apr</v>
      </c>
      <c r="N64" s="2" t="str">
        <f t="shared" si="10"/>
        <v>2025</v>
      </c>
      <c r="O64" s="2" t="str">
        <f t="shared" si="11"/>
        <v>Apr-2025</v>
      </c>
      <c r="P64" s="6">
        <f t="shared" si="12"/>
        <v>0.16566420418621677</v>
      </c>
      <c r="Q64" s="3">
        <f t="shared" si="13"/>
        <v>267.12</v>
      </c>
      <c r="R64" s="2" t="str">
        <f>IF(Table1[[#This Row],[Profit]]&gt;500,"Yes","No")</f>
        <v>No</v>
      </c>
    </row>
    <row r="65" spans="1:18" x14ac:dyDescent="0.35">
      <c r="A65" s="9" t="s">
        <v>349</v>
      </c>
      <c r="B65" s="4">
        <v>45753</v>
      </c>
      <c r="C65" s="2" t="s">
        <v>149</v>
      </c>
      <c r="D65" s="2">
        <v>4292</v>
      </c>
      <c r="E65" s="2" t="s">
        <v>24</v>
      </c>
      <c r="F65" s="2" t="s">
        <v>15</v>
      </c>
      <c r="G65" s="2" t="s">
        <v>19</v>
      </c>
      <c r="H65" s="5">
        <v>10</v>
      </c>
      <c r="I65" s="3">
        <v>389.25</v>
      </c>
      <c r="J65" s="3">
        <f t="shared" si="7"/>
        <v>3892.5</v>
      </c>
      <c r="K65" s="3">
        <v>3094.53</v>
      </c>
      <c r="L65" s="3">
        <f t="shared" si="8"/>
        <v>797.9699999999998</v>
      </c>
      <c r="M65" s="4" t="str">
        <f t="shared" si="9"/>
        <v>Apr</v>
      </c>
      <c r="N65" s="2" t="str">
        <f t="shared" si="10"/>
        <v>2025</v>
      </c>
      <c r="O65" s="2" t="str">
        <f t="shared" si="11"/>
        <v>Apr-2025</v>
      </c>
      <c r="P65" s="6">
        <f t="shared" si="12"/>
        <v>0.20500192678227355</v>
      </c>
      <c r="Q65" s="3">
        <f t="shared" si="13"/>
        <v>389.25</v>
      </c>
      <c r="R65" s="2" t="str">
        <f>IF(Table1[[#This Row],[Profit]]&gt;500,"Yes","No")</f>
        <v>Yes</v>
      </c>
    </row>
    <row r="66" spans="1:18" x14ac:dyDescent="0.35">
      <c r="A66" s="9" t="s">
        <v>419</v>
      </c>
      <c r="B66" s="4">
        <v>45752</v>
      </c>
      <c r="C66" s="2" t="s">
        <v>219</v>
      </c>
      <c r="D66" s="2">
        <v>9475</v>
      </c>
      <c r="E66" s="2" t="s">
        <v>10</v>
      </c>
      <c r="F66" s="2" t="s">
        <v>15</v>
      </c>
      <c r="G66" s="2" t="s">
        <v>36</v>
      </c>
      <c r="H66" s="5">
        <v>8</v>
      </c>
      <c r="I66" s="3">
        <v>399.05</v>
      </c>
      <c r="J66" s="3">
        <f t="shared" ref="J66:J97" si="14">H66*I66</f>
        <v>3192.4</v>
      </c>
      <c r="K66" s="3">
        <v>2500.84</v>
      </c>
      <c r="L66" s="3">
        <f t="shared" ref="L66:L97" si="15">J66-K66</f>
        <v>691.56</v>
      </c>
      <c r="M66" s="4" t="str">
        <f t="shared" ref="M66:M97" si="16">TEXT(B66,"MMM")</f>
        <v>Apr</v>
      </c>
      <c r="N66" s="2" t="str">
        <f t="shared" ref="N66:N97" si="17">TEXT(B66,"YYYY")</f>
        <v>2025</v>
      </c>
      <c r="O66" s="2" t="str">
        <f t="shared" ref="O66:O97" si="18">TEXT(B66,"mmm-yyyy")</f>
        <v>Apr-2025</v>
      </c>
      <c r="P66" s="6">
        <f t="shared" ref="P66:P97" si="19">IF(H66=0,0,(L66/J66))</f>
        <v>0.21662698909911035</v>
      </c>
      <c r="Q66" s="3">
        <f t="shared" ref="Q66:Q97" si="20">J66/H66</f>
        <v>399.05</v>
      </c>
      <c r="R66" s="2" t="str">
        <f>IF(Table1[[#This Row],[Profit]]&gt;500,"Yes","No")</f>
        <v>Yes</v>
      </c>
    </row>
    <row r="67" spans="1:18" x14ac:dyDescent="0.35">
      <c r="A67" s="9" t="s">
        <v>317</v>
      </c>
      <c r="B67" s="4">
        <v>45750</v>
      </c>
      <c r="C67" s="2" t="s">
        <v>117</v>
      </c>
      <c r="D67" s="2">
        <v>7290</v>
      </c>
      <c r="E67" s="2" t="s">
        <v>17</v>
      </c>
      <c r="F67" s="2" t="s">
        <v>11</v>
      </c>
      <c r="G67" s="2" t="s">
        <v>18</v>
      </c>
      <c r="H67" s="5">
        <v>2</v>
      </c>
      <c r="I67" s="3">
        <v>125.46</v>
      </c>
      <c r="J67" s="3">
        <f t="shared" si="14"/>
        <v>250.92</v>
      </c>
      <c r="K67" s="3">
        <v>212.69</v>
      </c>
      <c r="L67" s="3">
        <f t="shared" si="15"/>
        <v>38.22999999999999</v>
      </c>
      <c r="M67" s="4" t="str">
        <f t="shared" si="16"/>
        <v>Apr</v>
      </c>
      <c r="N67" s="2" t="str">
        <f t="shared" si="17"/>
        <v>2025</v>
      </c>
      <c r="O67" s="2" t="str">
        <f t="shared" si="18"/>
        <v>Apr-2025</v>
      </c>
      <c r="P67" s="6">
        <f t="shared" si="19"/>
        <v>0.15235931771082414</v>
      </c>
      <c r="Q67" s="3">
        <f t="shared" si="20"/>
        <v>125.46</v>
      </c>
      <c r="R67" s="2" t="str">
        <f>IF(Table1[[#This Row],[Profit]]&gt;500,"Yes","No")</f>
        <v>No</v>
      </c>
    </row>
    <row r="68" spans="1:18" x14ac:dyDescent="0.35">
      <c r="A68" s="9" t="s">
        <v>385</v>
      </c>
      <c r="B68" s="4">
        <v>45750</v>
      </c>
      <c r="C68" s="2" t="s">
        <v>185</v>
      </c>
      <c r="D68" s="2">
        <v>8226</v>
      </c>
      <c r="E68" s="2" t="s">
        <v>13</v>
      </c>
      <c r="F68" s="2" t="s">
        <v>25</v>
      </c>
      <c r="G68" s="2" t="s">
        <v>37</v>
      </c>
      <c r="H68" s="5">
        <v>6</v>
      </c>
      <c r="I68" s="3">
        <v>360.48</v>
      </c>
      <c r="J68" s="3">
        <f t="shared" si="14"/>
        <v>2162.88</v>
      </c>
      <c r="K68" s="3">
        <v>1671.18</v>
      </c>
      <c r="L68" s="3">
        <f t="shared" si="15"/>
        <v>491.70000000000005</v>
      </c>
      <c r="M68" s="4" t="str">
        <f t="shared" si="16"/>
        <v>Apr</v>
      </c>
      <c r="N68" s="2" t="str">
        <f t="shared" si="17"/>
        <v>2025</v>
      </c>
      <c r="O68" s="2" t="str">
        <f t="shared" si="18"/>
        <v>Apr-2025</v>
      </c>
      <c r="P68" s="6">
        <f t="shared" si="19"/>
        <v>0.22733577452285841</v>
      </c>
      <c r="Q68" s="3">
        <f t="shared" si="20"/>
        <v>360.48</v>
      </c>
      <c r="R68" s="2" t="str">
        <f>IF(Table1[[#This Row],[Profit]]&gt;500,"Yes","No")</f>
        <v>No</v>
      </c>
    </row>
    <row r="69" spans="1:18" x14ac:dyDescent="0.35">
      <c r="A69" s="9" t="s">
        <v>370</v>
      </c>
      <c r="B69" s="4">
        <v>45748</v>
      </c>
      <c r="C69" s="2" t="s">
        <v>170</v>
      </c>
      <c r="D69" s="2">
        <v>2828</v>
      </c>
      <c r="E69" s="2" t="s">
        <v>10</v>
      </c>
      <c r="F69" s="2" t="s">
        <v>15</v>
      </c>
      <c r="G69" s="2" t="s">
        <v>16</v>
      </c>
      <c r="H69" s="5">
        <v>9</v>
      </c>
      <c r="I69" s="3">
        <v>57.54</v>
      </c>
      <c r="J69" s="3">
        <f t="shared" si="14"/>
        <v>517.86</v>
      </c>
      <c r="K69" s="3">
        <v>403.02</v>
      </c>
      <c r="L69" s="3">
        <f t="shared" si="15"/>
        <v>114.84000000000003</v>
      </c>
      <c r="M69" s="4" t="str">
        <f t="shared" si="16"/>
        <v>Apr</v>
      </c>
      <c r="N69" s="2" t="str">
        <f t="shared" si="17"/>
        <v>2025</v>
      </c>
      <c r="O69" s="2" t="str">
        <f t="shared" si="18"/>
        <v>Apr-2025</v>
      </c>
      <c r="P69" s="6">
        <f t="shared" si="19"/>
        <v>0.22175877650330211</v>
      </c>
      <c r="Q69" s="3">
        <f t="shared" si="20"/>
        <v>57.54</v>
      </c>
      <c r="R69" s="2" t="str">
        <f>IF(Table1[[#This Row],[Profit]]&gt;500,"Yes","No")</f>
        <v>No</v>
      </c>
    </row>
    <row r="70" spans="1:18" x14ac:dyDescent="0.35">
      <c r="A70" s="9" t="s">
        <v>388</v>
      </c>
      <c r="B70" s="4">
        <v>45746</v>
      </c>
      <c r="C70" s="2" t="s">
        <v>188</v>
      </c>
      <c r="D70" s="2">
        <v>3589</v>
      </c>
      <c r="E70" s="2" t="s">
        <v>10</v>
      </c>
      <c r="F70" s="2" t="s">
        <v>22</v>
      </c>
      <c r="G70" s="2" t="s">
        <v>23</v>
      </c>
      <c r="H70" s="5">
        <v>5</v>
      </c>
      <c r="I70" s="3">
        <v>436.5</v>
      </c>
      <c r="J70" s="3">
        <f t="shared" si="14"/>
        <v>2182.5</v>
      </c>
      <c r="K70" s="3">
        <v>1828.77</v>
      </c>
      <c r="L70" s="3">
        <f t="shared" si="15"/>
        <v>353.73</v>
      </c>
      <c r="M70" s="4" t="str">
        <f t="shared" si="16"/>
        <v>Mar</v>
      </c>
      <c r="N70" s="2" t="str">
        <f t="shared" si="17"/>
        <v>2025</v>
      </c>
      <c r="O70" s="2" t="str">
        <f t="shared" si="18"/>
        <v>Mar-2025</v>
      </c>
      <c r="P70" s="6">
        <f t="shared" si="19"/>
        <v>0.16207560137457044</v>
      </c>
      <c r="Q70" s="3">
        <f t="shared" si="20"/>
        <v>436.5</v>
      </c>
      <c r="R70" s="2" t="str">
        <f>IF(Table1[[#This Row],[Profit]]&gt;500,"Yes","No")</f>
        <v>No</v>
      </c>
    </row>
    <row r="71" spans="1:18" x14ac:dyDescent="0.35">
      <c r="A71" s="9" t="s">
        <v>422</v>
      </c>
      <c r="B71" s="4">
        <v>45746</v>
      </c>
      <c r="C71" s="2" t="s">
        <v>222</v>
      </c>
      <c r="D71" s="2">
        <v>8809</v>
      </c>
      <c r="E71" s="2" t="s">
        <v>10</v>
      </c>
      <c r="F71" s="2" t="s">
        <v>15</v>
      </c>
      <c r="G71" s="2" t="s">
        <v>32</v>
      </c>
      <c r="H71" s="5">
        <v>9</v>
      </c>
      <c r="I71" s="3">
        <v>489.56</v>
      </c>
      <c r="J71" s="3">
        <f t="shared" si="14"/>
        <v>4406.04</v>
      </c>
      <c r="K71" s="3">
        <v>2802.6</v>
      </c>
      <c r="L71" s="3">
        <f t="shared" si="15"/>
        <v>1603.44</v>
      </c>
      <c r="M71" s="4" t="str">
        <f t="shared" si="16"/>
        <v>Mar</v>
      </c>
      <c r="N71" s="2" t="str">
        <f t="shared" si="17"/>
        <v>2025</v>
      </c>
      <c r="O71" s="2" t="str">
        <f t="shared" si="18"/>
        <v>Mar-2025</v>
      </c>
      <c r="P71" s="6">
        <f t="shared" si="19"/>
        <v>0.36391862080235315</v>
      </c>
      <c r="Q71" s="3">
        <f t="shared" si="20"/>
        <v>489.56</v>
      </c>
      <c r="R71" s="2" t="str">
        <f>IF(Table1[[#This Row],[Profit]]&gt;500,"Yes","No")</f>
        <v>Yes</v>
      </c>
    </row>
    <row r="72" spans="1:18" x14ac:dyDescent="0.35">
      <c r="A72" s="9" t="s">
        <v>360</v>
      </c>
      <c r="B72" s="4">
        <v>45741</v>
      </c>
      <c r="C72" s="2" t="s">
        <v>160</v>
      </c>
      <c r="D72" s="2">
        <v>1371</v>
      </c>
      <c r="E72" s="2" t="s">
        <v>10</v>
      </c>
      <c r="F72" s="2" t="s">
        <v>11</v>
      </c>
      <c r="G72" s="2" t="s">
        <v>12</v>
      </c>
      <c r="H72" s="5">
        <v>5</v>
      </c>
      <c r="I72" s="3">
        <v>322.2</v>
      </c>
      <c r="J72" s="3">
        <f t="shared" si="14"/>
        <v>1611</v>
      </c>
      <c r="K72" s="3">
        <v>1402.92</v>
      </c>
      <c r="L72" s="3">
        <f t="shared" si="15"/>
        <v>208.07999999999993</v>
      </c>
      <c r="M72" s="4" t="str">
        <f t="shared" si="16"/>
        <v>Mar</v>
      </c>
      <c r="N72" s="2" t="str">
        <f t="shared" si="17"/>
        <v>2025</v>
      </c>
      <c r="O72" s="2" t="str">
        <f t="shared" si="18"/>
        <v>Mar-2025</v>
      </c>
      <c r="P72" s="6">
        <f t="shared" si="19"/>
        <v>0.12916201117318432</v>
      </c>
      <c r="Q72" s="3">
        <f t="shared" si="20"/>
        <v>322.2</v>
      </c>
      <c r="R72" s="2" t="str">
        <f>IF(Table1[[#This Row],[Profit]]&gt;500,"Yes","No")</f>
        <v>No</v>
      </c>
    </row>
    <row r="73" spans="1:18" x14ac:dyDescent="0.35">
      <c r="A73" s="9" t="s">
        <v>430</v>
      </c>
      <c r="B73" s="4">
        <v>45738</v>
      </c>
      <c r="C73" s="2" t="s">
        <v>230</v>
      </c>
      <c r="D73" s="2">
        <v>6848</v>
      </c>
      <c r="E73" s="2" t="s">
        <v>13</v>
      </c>
      <c r="F73" s="2" t="s">
        <v>20</v>
      </c>
      <c r="G73" s="2" t="s">
        <v>31</v>
      </c>
      <c r="H73" s="5">
        <v>7</v>
      </c>
      <c r="I73" s="3">
        <v>91.94</v>
      </c>
      <c r="J73" s="3">
        <f t="shared" si="14"/>
        <v>643.57999999999993</v>
      </c>
      <c r="K73" s="3">
        <v>542.19000000000005</v>
      </c>
      <c r="L73" s="3">
        <f t="shared" si="15"/>
        <v>101.38999999999987</v>
      </c>
      <c r="M73" s="4" t="str">
        <f t="shared" si="16"/>
        <v>Mar</v>
      </c>
      <c r="N73" s="2" t="str">
        <f t="shared" si="17"/>
        <v>2025</v>
      </c>
      <c r="O73" s="2" t="str">
        <f t="shared" si="18"/>
        <v>Mar-2025</v>
      </c>
      <c r="P73" s="6">
        <f t="shared" si="19"/>
        <v>0.15754063208925057</v>
      </c>
      <c r="Q73" s="3">
        <f t="shared" si="20"/>
        <v>91.939999999999984</v>
      </c>
      <c r="R73" s="2" t="str">
        <f>IF(Table1[[#This Row],[Profit]]&gt;500,"Yes","No")</f>
        <v>No</v>
      </c>
    </row>
    <row r="74" spans="1:18" x14ac:dyDescent="0.35">
      <c r="A74" s="9" t="s">
        <v>409</v>
      </c>
      <c r="B74" s="4">
        <v>45734</v>
      </c>
      <c r="C74" s="2" t="s">
        <v>209</v>
      </c>
      <c r="D74" s="2">
        <v>3988</v>
      </c>
      <c r="E74" s="2" t="s">
        <v>10</v>
      </c>
      <c r="F74" s="2" t="s">
        <v>20</v>
      </c>
      <c r="G74" s="2" t="s">
        <v>31</v>
      </c>
      <c r="H74" s="5">
        <v>3</v>
      </c>
      <c r="I74" s="3">
        <v>292.67</v>
      </c>
      <c r="J74" s="3">
        <f t="shared" si="14"/>
        <v>878.01</v>
      </c>
      <c r="K74" s="3">
        <v>708.05</v>
      </c>
      <c r="L74" s="3">
        <f t="shared" si="15"/>
        <v>169.96000000000004</v>
      </c>
      <c r="M74" s="4" t="str">
        <f t="shared" si="16"/>
        <v>Mar</v>
      </c>
      <c r="N74" s="2" t="str">
        <f t="shared" si="17"/>
        <v>2025</v>
      </c>
      <c r="O74" s="2" t="str">
        <f t="shared" si="18"/>
        <v>Mar-2025</v>
      </c>
      <c r="P74" s="6">
        <f t="shared" si="19"/>
        <v>0.1935741050785299</v>
      </c>
      <c r="Q74" s="3">
        <f t="shared" si="20"/>
        <v>292.67</v>
      </c>
      <c r="R74" s="2" t="str">
        <f>IF(Table1[[#This Row],[Profit]]&gt;500,"Yes","No")</f>
        <v>No</v>
      </c>
    </row>
    <row r="75" spans="1:18" x14ac:dyDescent="0.35">
      <c r="A75" s="9" t="s">
        <v>319</v>
      </c>
      <c r="B75" s="4">
        <v>45733</v>
      </c>
      <c r="C75" s="2" t="s">
        <v>119</v>
      </c>
      <c r="D75" s="2">
        <v>4250</v>
      </c>
      <c r="E75" s="2" t="s">
        <v>13</v>
      </c>
      <c r="F75" s="2" t="s">
        <v>25</v>
      </c>
      <c r="G75" s="2" t="s">
        <v>33</v>
      </c>
      <c r="H75" s="5">
        <v>4</v>
      </c>
      <c r="I75" s="3">
        <v>96.38</v>
      </c>
      <c r="J75" s="3">
        <f t="shared" si="14"/>
        <v>385.52</v>
      </c>
      <c r="K75" s="3">
        <v>272.88</v>
      </c>
      <c r="L75" s="3">
        <f t="shared" si="15"/>
        <v>112.63999999999999</v>
      </c>
      <c r="M75" s="4" t="str">
        <f t="shared" si="16"/>
        <v>Mar</v>
      </c>
      <c r="N75" s="2" t="str">
        <f t="shared" si="17"/>
        <v>2025</v>
      </c>
      <c r="O75" s="2" t="str">
        <f t="shared" si="18"/>
        <v>Mar-2025</v>
      </c>
      <c r="P75" s="6">
        <f t="shared" si="19"/>
        <v>0.2921768001660095</v>
      </c>
      <c r="Q75" s="3">
        <f t="shared" si="20"/>
        <v>96.38</v>
      </c>
      <c r="R75" s="2" t="str">
        <f>IF(Table1[[#This Row],[Profit]]&gt;500,"Yes","No")</f>
        <v>No</v>
      </c>
    </row>
    <row r="76" spans="1:18" x14ac:dyDescent="0.35">
      <c r="A76" s="9" t="s">
        <v>358</v>
      </c>
      <c r="B76" s="4">
        <v>45733</v>
      </c>
      <c r="C76" s="2" t="s">
        <v>158</v>
      </c>
      <c r="D76" s="2">
        <v>5942</v>
      </c>
      <c r="E76" s="2" t="s">
        <v>13</v>
      </c>
      <c r="F76" s="2" t="s">
        <v>11</v>
      </c>
      <c r="G76" s="2" t="s">
        <v>38</v>
      </c>
      <c r="H76" s="5">
        <v>1</v>
      </c>
      <c r="I76" s="3">
        <v>418.57</v>
      </c>
      <c r="J76" s="3">
        <f t="shared" si="14"/>
        <v>418.57</v>
      </c>
      <c r="K76" s="3">
        <v>284.98</v>
      </c>
      <c r="L76" s="3">
        <f t="shared" si="15"/>
        <v>133.58999999999997</v>
      </c>
      <c r="M76" s="4" t="str">
        <f t="shared" si="16"/>
        <v>Mar</v>
      </c>
      <c r="N76" s="2" t="str">
        <f t="shared" si="17"/>
        <v>2025</v>
      </c>
      <c r="O76" s="2" t="str">
        <f t="shared" si="18"/>
        <v>Mar-2025</v>
      </c>
      <c r="P76" s="6">
        <f t="shared" si="19"/>
        <v>0.3191580858637742</v>
      </c>
      <c r="Q76" s="3">
        <f t="shared" si="20"/>
        <v>418.57</v>
      </c>
      <c r="R76" s="2" t="str">
        <f>IF(Table1[[#This Row],[Profit]]&gt;500,"Yes","No")</f>
        <v>No</v>
      </c>
    </row>
    <row r="77" spans="1:18" x14ac:dyDescent="0.35">
      <c r="A77" s="9" t="s">
        <v>256</v>
      </c>
      <c r="B77" s="4">
        <v>45730</v>
      </c>
      <c r="C77" s="2" t="s">
        <v>56</v>
      </c>
      <c r="D77" s="2">
        <v>1906</v>
      </c>
      <c r="E77" s="2" t="s">
        <v>13</v>
      </c>
      <c r="F77" s="2" t="s">
        <v>22</v>
      </c>
      <c r="G77" s="2" t="s">
        <v>28</v>
      </c>
      <c r="H77" s="5">
        <v>2</v>
      </c>
      <c r="I77" s="3">
        <v>442.83</v>
      </c>
      <c r="J77" s="3">
        <f t="shared" si="14"/>
        <v>885.66</v>
      </c>
      <c r="K77" s="3">
        <v>766.13</v>
      </c>
      <c r="L77" s="3">
        <f t="shared" si="15"/>
        <v>119.52999999999997</v>
      </c>
      <c r="M77" s="4" t="str">
        <f t="shared" si="16"/>
        <v>Mar</v>
      </c>
      <c r="N77" s="2" t="str">
        <f t="shared" si="17"/>
        <v>2025</v>
      </c>
      <c r="O77" s="2" t="str">
        <f t="shared" si="18"/>
        <v>Mar-2025</v>
      </c>
      <c r="P77" s="6">
        <f t="shared" si="19"/>
        <v>0.13496149764017792</v>
      </c>
      <c r="Q77" s="3">
        <f t="shared" si="20"/>
        <v>442.83</v>
      </c>
      <c r="R77" s="2" t="str">
        <f>IF(Table1[[#This Row],[Profit]]&gt;500,"Yes","No")</f>
        <v>No</v>
      </c>
    </row>
    <row r="78" spans="1:18" x14ac:dyDescent="0.35">
      <c r="A78" s="9" t="s">
        <v>377</v>
      </c>
      <c r="B78" s="4">
        <v>45729</v>
      </c>
      <c r="C78" s="2" t="s">
        <v>177</v>
      </c>
      <c r="D78" s="2">
        <v>3845</v>
      </c>
      <c r="E78" s="2" t="s">
        <v>24</v>
      </c>
      <c r="F78" s="2" t="s">
        <v>15</v>
      </c>
      <c r="G78" s="2" t="s">
        <v>19</v>
      </c>
      <c r="H78" s="5">
        <v>3</v>
      </c>
      <c r="I78" s="3">
        <v>304.07</v>
      </c>
      <c r="J78" s="3">
        <f t="shared" si="14"/>
        <v>912.21</v>
      </c>
      <c r="K78" s="3">
        <v>634.99</v>
      </c>
      <c r="L78" s="3">
        <f t="shared" si="15"/>
        <v>277.22000000000003</v>
      </c>
      <c r="M78" s="4" t="str">
        <f t="shared" si="16"/>
        <v>Mar</v>
      </c>
      <c r="N78" s="2" t="str">
        <f t="shared" si="17"/>
        <v>2025</v>
      </c>
      <c r="O78" s="2" t="str">
        <f t="shared" si="18"/>
        <v>Mar-2025</v>
      </c>
      <c r="P78" s="6">
        <f t="shared" si="19"/>
        <v>0.30389932142817994</v>
      </c>
      <c r="Q78" s="3">
        <f t="shared" si="20"/>
        <v>304.07</v>
      </c>
      <c r="R78" s="2" t="str">
        <f>IF(Table1[[#This Row],[Profit]]&gt;500,"Yes","No")</f>
        <v>No</v>
      </c>
    </row>
    <row r="79" spans="1:18" x14ac:dyDescent="0.35">
      <c r="A79" s="9" t="s">
        <v>366</v>
      </c>
      <c r="B79" s="4">
        <v>45723</v>
      </c>
      <c r="C79" s="2" t="s">
        <v>166</v>
      </c>
      <c r="D79" s="2">
        <v>8787</v>
      </c>
      <c r="E79" s="2" t="s">
        <v>17</v>
      </c>
      <c r="F79" s="2" t="s">
        <v>15</v>
      </c>
      <c r="G79" s="2" t="s">
        <v>16</v>
      </c>
      <c r="H79" s="5">
        <v>10</v>
      </c>
      <c r="I79" s="3">
        <v>129.34</v>
      </c>
      <c r="J79" s="3">
        <f t="shared" si="14"/>
        <v>1293.4000000000001</v>
      </c>
      <c r="K79" s="3">
        <v>1134.5</v>
      </c>
      <c r="L79" s="3">
        <f t="shared" si="15"/>
        <v>158.90000000000009</v>
      </c>
      <c r="M79" s="4" t="str">
        <f t="shared" si="16"/>
        <v>Mar</v>
      </c>
      <c r="N79" s="2" t="str">
        <f t="shared" si="17"/>
        <v>2025</v>
      </c>
      <c r="O79" s="2" t="str">
        <f t="shared" si="18"/>
        <v>Mar-2025</v>
      </c>
      <c r="P79" s="6">
        <f t="shared" si="19"/>
        <v>0.12285449203649303</v>
      </c>
      <c r="Q79" s="3">
        <f t="shared" si="20"/>
        <v>129.34</v>
      </c>
      <c r="R79" s="2" t="str">
        <f>IF(Table1[[#This Row],[Profit]]&gt;500,"Yes","No")</f>
        <v>No</v>
      </c>
    </row>
    <row r="80" spans="1:18" x14ac:dyDescent="0.35">
      <c r="A80" s="9" t="s">
        <v>415</v>
      </c>
      <c r="B80" s="4">
        <v>45722</v>
      </c>
      <c r="C80" s="2" t="s">
        <v>215</v>
      </c>
      <c r="D80" s="2">
        <v>8753</v>
      </c>
      <c r="E80" s="2" t="s">
        <v>13</v>
      </c>
      <c r="F80" s="2" t="s">
        <v>11</v>
      </c>
      <c r="G80" s="2" t="s">
        <v>12</v>
      </c>
      <c r="H80" s="5">
        <v>1</v>
      </c>
      <c r="I80" s="3">
        <v>17.600000000000001</v>
      </c>
      <c r="J80" s="3">
        <f t="shared" si="14"/>
        <v>17.600000000000001</v>
      </c>
      <c r="K80" s="3">
        <v>14.57</v>
      </c>
      <c r="L80" s="3">
        <f t="shared" si="15"/>
        <v>3.0300000000000011</v>
      </c>
      <c r="M80" s="4" t="str">
        <f t="shared" si="16"/>
        <v>Mar</v>
      </c>
      <c r="N80" s="2" t="str">
        <f t="shared" si="17"/>
        <v>2025</v>
      </c>
      <c r="O80" s="2" t="str">
        <f t="shared" si="18"/>
        <v>Mar-2025</v>
      </c>
      <c r="P80" s="6">
        <f t="shared" si="19"/>
        <v>0.17215909090909096</v>
      </c>
      <c r="Q80" s="3">
        <f t="shared" si="20"/>
        <v>17.600000000000001</v>
      </c>
      <c r="R80" s="2" t="str">
        <f>IF(Table1[[#This Row],[Profit]]&gt;500,"Yes","No")</f>
        <v>No</v>
      </c>
    </row>
    <row r="81" spans="1:18" x14ac:dyDescent="0.35">
      <c r="A81" s="9" t="s">
        <v>425</v>
      </c>
      <c r="B81" s="4">
        <v>45721</v>
      </c>
      <c r="C81" s="2" t="s">
        <v>225</v>
      </c>
      <c r="D81" s="2">
        <v>5252</v>
      </c>
      <c r="E81" s="2" t="s">
        <v>13</v>
      </c>
      <c r="F81" s="2" t="s">
        <v>22</v>
      </c>
      <c r="G81" s="2" t="s">
        <v>29</v>
      </c>
      <c r="H81" s="5">
        <v>4</v>
      </c>
      <c r="I81" s="3">
        <v>120.34</v>
      </c>
      <c r="J81" s="3">
        <f t="shared" si="14"/>
        <v>481.36</v>
      </c>
      <c r="K81" s="3">
        <v>349.15</v>
      </c>
      <c r="L81" s="3">
        <f t="shared" si="15"/>
        <v>132.21000000000004</v>
      </c>
      <c r="M81" s="4" t="str">
        <f t="shared" si="16"/>
        <v>Mar</v>
      </c>
      <c r="N81" s="2" t="str">
        <f t="shared" si="17"/>
        <v>2025</v>
      </c>
      <c r="O81" s="2" t="str">
        <f t="shared" si="18"/>
        <v>Mar-2025</v>
      </c>
      <c r="P81" s="6">
        <f t="shared" si="19"/>
        <v>0.27465929865381428</v>
      </c>
      <c r="Q81" s="3">
        <f t="shared" si="20"/>
        <v>120.34</v>
      </c>
      <c r="R81" s="2" t="str">
        <f>IF(Table1[[#This Row],[Profit]]&gt;500,"Yes","No")</f>
        <v>No</v>
      </c>
    </row>
    <row r="82" spans="1:18" x14ac:dyDescent="0.35">
      <c r="A82" s="9" t="s">
        <v>365</v>
      </c>
      <c r="B82" s="4">
        <v>45718</v>
      </c>
      <c r="C82" s="2" t="s">
        <v>165</v>
      </c>
      <c r="D82" s="2">
        <v>7428</v>
      </c>
      <c r="E82" s="2" t="s">
        <v>13</v>
      </c>
      <c r="F82" s="2" t="s">
        <v>20</v>
      </c>
      <c r="G82" s="2" t="s">
        <v>35</v>
      </c>
      <c r="H82" s="5">
        <v>10</v>
      </c>
      <c r="I82" s="3">
        <v>257.83999999999997</v>
      </c>
      <c r="J82" s="3">
        <f t="shared" si="14"/>
        <v>2578.3999999999996</v>
      </c>
      <c r="K82" s="3">
        <v>1557.91</v>
      </c>
      <c r="L82" s="3">
        <f t="shared" si="15"/>
        <v>1020.4899999999996</v>
      </c>
      <c r="M82" s="4" t="str">
        <f t="shared" si="16"/>
        <v>Mar</v>
      </c>
      <c r="N82" s="2" t="str">
        <f t="shared" si="17"/>
        <v>2025</v>
      </c>
      <c r="O82" s="2" t="str">
        <f t="shared" si="18"/>
        <v>Mar-2025</v>
      </c>
      <c r="P82" s="6">
        <f t="shared" si="19"/>
        <v>0.39578420726031638</v>
      </c>
      <c r="Q82" s="3">
        <f t="shared" si="20"/>
        <v>257.83999999999997</v>
      </c>
      <c r="R82" s="2" t="str">
        <f>IF(Table1[[#This Row],[Profit]]&gt;500,"Yes","No")</f>
        <v>Yes</v>
      </c>
    </row>
    <row r="83" spans="1:18" x14ac:dyDescent="0.35">
      <c r="A83" s="9" t="s">
        <v>418</v>
      </c>
      <c r="B83" s="4">
        <v>45718</v>
      </c>
      <c r="C83" s="2" t="s">
        <v>218</v>
      </c>
      <c r="D83" s="2">
        <v>2879</v>
      </c>
      <c r="E83" s="2" t="s">
        <v>24</v>
      </c>
      <c r="F83" s="2" t="s">
        <v>15</v>
      </c>
      <c r="G83" s="2" t="s">
        <v>19</v>
      </c>
      <c r="H83" s="5">
        <v>2</v>
      </c>
      <c r="I83" s="3">
        <v>36.89</v>
      </c>
      <c r="J83" s="3">
        <f t="shared" si="14"/>
        <v>73.78</v>
      </c>
      <c r="K83" s="3">
        <v>57.13</v>
      </c>
      <c r="L83" s="3">
        <f t="shared" si="15"/>
        <v>16.649999999999999</v>
      </c>
      <c r="M83" s="4" t="str">
        <f t="shared" si="16"/>
        <v>Mar</v>
      </c>
      <c r="N83" s="2" t="str">
        <f t="shared" si="17"/>
        <v>2025</v>
      </c>
      <c r="O83" s="2" t="str">
        <f t="shared" si="18"/>
        <v>Mar-2025</v>
      </c>
      <c r="P83" s="6">
        <f t="shared" si="19"/>
        <v>0.22567091352670099</v>
      </c>
      <c r="Q83" s="3">
        <f t="shared" si="20"/>
        <v>36.89</v>
      </c>
      <c r="R83" s="2" t="str">
        <f>IF(Table1[[#This Row],[Profit]]&gt;500,"Yes","No")</f>
        <v>No</v>
      </c>
    </row>
    <row r="84" spans="1:18" x14ac:dyDescent="0.35">
      <c r="A84" s="9" t="s">
        <v>378</v>
      </c>
      <c r="B84" s="4">
        <v>45716</v>
      </c>
      <c r="C84" s="2" t="s">
        <v>178</v>
      </c>
      <c r="D84" s="2">
        <v>2443</v>
      </c>
      <c r="E84" s="2" t="s">
        <v>10</v>
      </c>
      <c r="F84" s="2" t="s">
        <v>11</v>
      </c>
      <c r="G84" s="2" t="s">
        <v>14</v>
      </c>
      <c r="H84" s="5">
        <v>2</v>
      </c>
      <c r="I84" s="3">
        <v>74.569999999999993</v>
      </c>
      <c r="J84" s="3">
        <f t="shared" si="14"/>
        <v>149.13999999999999</v>
      </c>
      <c r="K84" s="3">
        <v>104.32</v>
      </c>
      <c r="L84" s="3">
        <f t="shared" si="15"/>
        <v>44.819999999999993</v>
      </c>
      <c r="M84" s="4" t="str">
        <f t="shared" si="16"/>
        <v>Feb</v>
      </c>
      <c r="N84" s="2" t="str">
        <f t="shared" si="17"/>
        <v>2025</v>
      </c>
      <c r="O84" s="2" t="str">
        <f t="shared" si="18"/>
        <v>Feb-2025</v>
      </c>
      <c r="P84" s="6">
        <f t="shared" si="19"/>
        <v>0.30052299852487596</v>
      </c>
      <c r="Q84" s="3">
        <f t="shared" si="20"/>
        <v>74.569999999999993</v>
      </c>
      <c r="R84" s="2" t="str">
        <f>IF(Table1[[#This Row],[Profit]]&gt;500,"Yes","No")</f>
        <v>No</v>
      </c>
    </row>
    <row r="85" spans="1:18" x14ac:dyDescent="0.35">
      <c r="A85" s="9" t="s">
        <v>369</v>
      </c>
      <c r="B85" s="4">
        <v>45712</v>
      </c>
      <c r="C85" s="2" t="s">
        <v>169</v>
      </c>
      <c r="D85" s="2">
        <v>4121</v>
      </c>
      <c r="E85" s="2" t="s">
        <v>17</v>
      </c>
      <c r="F85" s="2" t="s">
        <v>11</v>
      </c>
      <c r="G85" s="2" t="s">
        <v>38</v>
      </c>
      <c r="H85" s="5">
        <v>5</v>
      </c>
      <c r="I85" s="3">
        <v>479.54</v>
      </c>
      <c r="J85" s="3">
        <f t="shared" si="14"/>
        <v>2397.7000000000003</v>
      </c>
      <c r="K85" s="3">
        <v>1912.65</v>
      </c>
      <c r="L85" s="3">
        <f t="shared" si="15"/>
        <v>485.05000000000018</v>
      </c>
      <c r="M85" s="4" t="str">
        <f t="shared" si="16"/>
        <v>Feb</v>
      </c>
      <c r="N85" s="2" t="str">
        <f t="shared" si="17"/>
        <v>2025</v>
      </c>
      <c r="O85" s="2" t="str">
        <f t="shared" si="18"/>
        <v>Feb-2025</v>
      </c>
      <c r="P85" s="6">
        <f t="shared" si="19"/>
        <v>0.20229803561746679</v>
      </c>
      <c r="Q85" s="3">
        <f t="shared" si="20"/>
        <v>479.54000000000008</v>
      </c>
      <c r="R85" s="2" t="str">
        <f>IF(Table1[[#This Row],[Profit]]&gt;500,"Yes","No")</f>
        <v>No</v>
      </c>
    </row>
    <row r="86" spans="1:18" x14ac:dyDescent="0.35">
      <c r="A86" s="9" t="s">
        <v>255</v>
      </c>
      <c r="B86" s="4">
        <v>45703</v>
      </c>
      <c r="C86" s="2" t="s">
        <v>55</v>
      </c>
      <c r="D86" s="2">
        <v>4692</v>
      </c>
      <c r="E86" s="2" t="s">
        <v>10</v>
      </c>
      <c r="F86" s="2" t="s">
        <v>20</v>
      </c>
      <c r="G86" s="2" t="s">
        <v>27</v>
      </c>
      <c r="H86" s="5">
        <v>6</v>
      </c>
      <c r="I86" s="3">
        <v>61.11</v>
      </c>
      <c r="J86" s="3">
        <f t="shared" si="14"/>
        <v>366.65999999999997</v>
      </c>
      <c r="K86" s="3">
        <v>279.67</v>
      </c>
      <c r="L86" s="3">
        <f t="shared" si="15"/>
        <v>86.989999999999952</v>
      </c>
      <c r="M86" s="4" t="str">
        <f t="shared" si="16"/>
        <v>Feb</v>
      </c>
      <c r="N86" s="2" t="str">
        <f t="shared" si="17"/>
        <v>2025</v>
      </c>
      <c r="O86" s="2" t="str">
        <f t="shared" si="18"/>
        <v>Feb-2025</v>
      </c>
      <c r="P86" s="6">
        <f t="shared" si="19"/>
        <v>0.23724976817760313</v>
      </c>
      <c r="Q86" s="3">
        <f t="shared" si="20"/>
        <v>61.109999999999992</v>
      </c>
      <c r="R86" s="2" t="str">
        <f>IF(Table1[[#This Row],[Profit]]&gt;500,"Yes","No")</f>
        <v>No</v>
      </c>
    </row>
    <row r="87" spans="1:18" x14ac:dyDescent="0.35">
      <c r="A87" s="9" t="s">
        <v>280</v>
      </c>
      <c r="B87" s="4">
        <v>45697</v>
      </c>
      <c r="C87" s="2" t="s">
        <v>80</v>
      </c>
      <c r="D87" s="2">
        <v>4677</v>
      </c>
      <c r="E87" s="2" t="s">
        <v>24</v>
      </c>
      <c r="F87" s="2" t="s">
        <v>22</v>
      </c>
      <c r="G87" s="2" t="s">
        <v>29</v>
      </c>
      <c r="H87" s="5">
        <v>7</v>
      </c>
      <c r="I87" s="3">
        <v>134.99</v>
      </c>
      <c r="J87" s="3">
        <f t="shared" si="14"/>
        <v>944.93000000000006</v>
      </c>
      <c r="K87" s="3">
        <v>652</v>
      </c>
      <c r="L87" s="3">
        <f t="shared" si="15"/>
        <v>292.93000000000006</v>
      </c>
      <c r="M87" s="4" t="str">
        <f t="shared" si="16"/>
        <v>Feb</v>
      </c>
      <c r="N87" s="2" t="str">
        <f t="shared" si="17"/>
        <v>2025</v>
      </c>
      <c r="O87" s="2" t="str">
        <f t="shared" si="18"/>
        <v>Feb-2025</v>
      </c>
      <c r="P87" s="6">
        <f t="shared" si="19"/>
        <v>0.31000179907506381</v>
      </c>
      <c r="Q87" s="3">
        <f t="shared" si="20"/>
        <v>134.99</v>
      </c>
      <c r="R87" s="2" t="str">
        <f>IF(Table1[[#This Row],[Profit]]&gt;500,"Yes","No")</f>
        <v>No</v>
      </c>
    </row>
    <row r="88" spans="1:18" x14ac:dyDescent="0.35">
      <c r="A88" s="9" t="s">
        <v>335</v>
      </c>
      <c r="B88" s="4">
        <v>45696</v>
      </c>
      <c r="C88" s="2" t="s">
        <v>135</v>
      </c>
      <c r="D88" s="2">
        <v>8300</v>
      </c>
      <c r="E88" s="2" t="s">
        <v>13</v>
      </c>
      <c r="F88" s="2" t="s">
        <v>11</v>
      </c>
      <c r="G88" s="2" t="s">
        <v>38</v>
      </c>
      <c r="H88" s="5">
        <v>9</v>
      </c>
      <c r="I88" s="3">
        <v>254.43</v>
      </c>
      <c r="J88" s="3">
        <f t="shared" si="14"/>
        <v>2289.87</v>
      </c>
      <c r="K88" s="3">
        <v>1977.9</v>
      </c>
      <c r="L88" s="3">
        <f t="shared" si="15"/>
        <v>311.9699999999998</v>
      </c>
      <c r="M88" s="4" t="str">
        <f t="shared" si="16"/>
        <v>Feb</v>
      </c>
      <c r="N88" s="2" t="str">
        <f t="shared" si="17"/>
        <v>2025</v>
      </c>
      <c r="O88" s="2" t="str">
        <f t="shared" si="18"/>
        <v>Feb-2025</v>
      </c>
      <c r="P88" s="6">
        <f t="shared" si="19"/>
        <v>0.1362391751496809</v>
      </c>
      <c r="Q88" s="3">
        <f t="shared" si="20"/>
        <v>254.42999999999998</v>
      </c>
      <c r="R88" s="2" t="str">
        <f>IF(Table1[[#This Row],[Profit]]&gt;500,"Yes","No")</f>
        <v>No</v>
      </c>
    </row>
    <row r="89" spans="1:18" x14ac:dyDescent="0.35">
      <c r="A89" s="9" t="s">
        <v>381</v>
      </c>
      <c r="B89" s="4">
        <v>45696</v>
      </c>
      <c r="C89" s="2" t="s">
        <v>181</v>
      </c>
      <c r="D89" s="2">
        <v>2429</v>
      </c>
      <c r="E89" s="2" t="s">
        <v>17</v>
      </c>
      <c r="F89" s="2" t="s">
        <v>20</v>
      </c>
      <c r="G89" s="2" t="s">
        <v>21</v>
      </c>
      <c r="H89" s="5">
        <v>7</v>
      </c>
      <c r="I89" s="3">
        <v>192.99</v>
      </c>
      <c r="J89" s="3">
        <f t="shared" si="14"/>
        <v>1350.93</v>
      </c>
      <c r="K89" s="3">
        <v>1073.2</v>
      </c>
      <c r="L89" s="3">
        <f t="shared" si="15"/>
        <v>277.73</v>
      </c>
      <c r="M89" s="4" t="str">
        <f t="shared" si="16"/>
        <v>Feb</v>
      </c>
      <c r="N89" s="2" t="str">
        <f t="shared" si="17"/>
        <v>2025</v>
      </c>
      <c r="O89" s="2" t="str">
        <f t="shared" si="18"/>
        <v>Feb-2025</v>
      </c>
      <c r="P89" s="6">
        <f t="shared" si="19"/>
        <v>0.20558430118510951</v>
      </c>
      <c r="Q89" s="3">
        <f t="shared" si="20"/>
        <v>192.99</v>
      </c>
      <c r="R89" s="2" t="str">
        <f>IF(Table1[[#This Row],[Profit]]&gt;500,"Yes","No")</f>
        <v>No</v>
      </c>
    </row>
    <row r="90" spans="1:18" x14ac:dyDescent="0.35">
      <c r="A90" s="9" t="s">
        <v>353</v>
      </c>
      <c r="B90" s="4">
        <v>45691</v>
      </c>
      <c r="C90" s="2" t="s">
        <v>153</v>
      </c>
      <c r="D90" s="2">
        <v>7795</v>
      </c>
      <c r="E90" s="2" t="s">
        <v>13</v>
      </c>
      <c r="F90" s="2" t="s">
        <v>20</v>
      </c>
      <c r="G90" s="2" t="s">
        <v>21</v>
      </c>
      <c r="H90" s="5">
        <v>7</v>
      </c>
      <c r="I90" s="3">
        <v>493.15</v>
      </c>
      <c r="J90" s="3">
        <f t="shared" si="14"/>
        <v>3452.0499999999997</v>
      </c>
      <c r="K90" s="3">
        <v>2494.5700000000002</v>
      </c>
      <c r="L90" s="3">
        <f t="shared" si="15"/>
        <v>957.47999999999956</v>
      </c>
      <c r="M90" s="4" t="str">
        <f t="shared" si="16"/>
        <v>Feb</v>
      </c>
      <c r="N90" s="2" t="str">
        <f t="shared" si="17"/>
        <v>2025</v>
      </c>
      <c r="O90" s="2" t="str">
        <f t="shared" si="18"/>
        <v>Feb-2025</v>
      </c>
      <c r="P90" s="6">
        <f t="shared" si="19"/>
        <v>0.27736562332527037</v>
      </c>
      <c r="Q90" s="3">
        <f t="shared" si="20"/>
        <v>493.15</v>
      </c>
      <c r="R90" s="2" t="str">
        <f>IF(Table1[[#This Row],[Profit]]&gt;500,"Yes","No")</f>
        <v>Yes</v>
      </c>
    </row>
    <row r="91" spans="1:18" x14ac:dyDescent="0.35">
      <c r="A91" s="9" t="s">
        <v>371</v>
      </c>
      <c r="B91" s="4">
        <v>45690</v>
      </c>
      <c r="C91" s="2" t="s">
        <v>171</v>
      </c>
      <c r="D91" s="2">
        <v>9542</v>
      </c>
      <c r="E91" s="2" t="s">
        <v>24</v>
      </c>
      <c r="F91" s="2" t="s">
        <v>11</v>
      </c>
      <c r="G91" s="2" t="s">
        <v>14</v>
      </c>
      <c r="H91" s="5">
        <v>1</v>
      </c>
      <c r="I91" s="3">
        <v>265.77999999999997</v>
      </c>
      <c r="J91" s="3">
        <f t="shared" si="14"/>
        <v>265.77999999999997</v>
      </c>
      <c r="K91" s="3">
        <v>169.73</v>
      </c>
      <c r="L91" s="3">
        <f t="shared" si="15"/>
        <v>96.049999999999983</v>
      </c>
      <c r="M91" s="4" t="str">
        <f t="shared" si="16"/>
        <v>Feb</v>
      </c>
      <c r="N91" s="2" t="str">
        <f t="shared" si="17"/>
        <v>2025</v>
      </c>
      <c r="O91" s="2" t="str">
        <f t="shared" si="18"/>
        <v>Feb-2025</v>
      </c>
      <c r="P91" s="6">
        <f t="shared" si="19"/>
        <v>0.36138911882007674</v>
      </c>
      <c r="Q91" s="3">
        <f t="shared" si="20"/>
        <v>265.77999999999997</v>
      </c>
      <c r="R91" s="2" t="str">
        <f>IF(Table1[[#This Row],[Profit]]&gt;500,"Yes","No")</f>
        <v>No</v>
      </c>
    </row>
    <row r="92" spans="1:18" x14ac:dyDescent="0.35">
      <c r="A92" s="9" t="s">
        <v>396</v>
      </c>
      <c r="B92" s="4">
        <v>45690</v>
      </c>
      <c r="C92" s="2" t="s">
        <v>196</v>
      </c>
      <c r="D92" s="2">
        <v>4492</v>
      </c>
      <c r="E92" s="2" t="s">
        <v>24</v>
      </c>
      <c r="F92" s="2" t="s">
        <v>15</v>
      </c>
      <c r="G92" s="2" t="s">
        <v>32</v>
      </c>
      <c r="H92" s="5">
        <v>6</v>
      </c>
      <c r="I92" s="3">
        <v>202.6</v>
      </c>
      <c r="J92" s="3">
        <f t="shared" si="14"/>
        <v>1215.5999999999999</v>
      </c>
      <c r="K92" s="3">
        <v>803.54</v>
      </c>
      <c r="L92" s="3">
        <f t="shared" si="15"/>
        <v>412.05999999999995</v>
      </c>
      <c r="M92" s="4" t="str">
        <f t="shared" si="16"/>
        <v>Feb</v>
      </c>
      <c r="N92" s="2" t="str">
        <f t="shared" si="17"/>
        <v>2025</v>
      </c>
      <c r="O92" s="2" t="str">
        <f t="shared" si="18"/>
        <v>Feb-2025</v>
      </c>
      <c r="P92" s="6">
        <f t="shared" si="19"/>
        <v>0.3389766370516617</v>
      </c>
      <c r="Q92" s="3">
        <f t="shared" si="20"/>
        <v>202.6</v>
      </c>
      <c r="R92" s="2" t="str">
        <f>IF(Table1[[#This Row],[Profit]]&gt;500,"Yes","No")</f>
        <v>No</v>
      </c>
    </row>
    <row r="93" spans="1:18" x14ac:dyDescent="0.35">
      <c r="A93" s="9" t="s">
        <v>437</v>
      </c>
      <c r="B93" s="4">
        <v>45689</v>
      </c>
      <c r="C93" s="2" t="s">
        <v>237</v>
      </c>
      <c r="D93" s="2">
        <v>6990</v>
      </c>
      <c r="E93" s="2" t="s">
        <v>10</v>
      </c>
      <c r="F93" s="2" t="s">
        <v>22</v>
      </c>
      <c r="G93" s="2" t="s">
        <v>23</v>
      </c>
      <c r="H93" s="5">
        <v>8</v>
      </c>
      <c r="I93" s="3">
        <v>197.67</v>
      </c>
      <c r="J93" s="3">
        <f t="shared" si="14"/>
        <v>1581.36</v>
      </c>
      <c r="K93" s="3">
        <v>1403.02</v>
      </c>
      <c r="L93" s="3">
        <f t="shared" si="15"/>
        <v>178.33999999999992</v>
      </c>
      <c r="M93" s="4" t="str">
        <f t="shared" si="16"/>
        <v>Feb</v>
      </c>
      <c r="N93" s="2" t="str">
        <f t="shared" si="17"/>
        <v>2025</v>
      </c>
      <c r="O93" s="2" t="str">
        <f t="shared" si="18"/>
        <v>Feb-2025</v>
      </c>
      <c r="P93" s="6">
        <f t="shared" si="19"/>
        <v>0.11277634441240447</v>
      </c>
      <c r="Q93" s="3">
        <f t="shared" si="20"/>
        <v>197.67</v>
      </c>
      <c r="R93" s="2" t="str">
        <f>IF(Table1[[#This Row],[Profit]]&gt;500,"Yes","No")</f>
        <v>No</v>
      </c>
    </row>
    <row r="94" spans="1:18" x14ac:dyDescent="0.35">
      <c r="A94" s="9" t="s">
        <v>383</v>
      </c>
      <c r="B94" s="4">
        <v>45687</v>
      </c>
      <c r="C94" s="2" t="s">
        <v>183</v>
      </c>
      <c r="D94" s="2">
        <v>3752</v>
      </c>
      <c r="E94" s="2" t="s">
        <v>13</v>
      </c>
      <c r="F94" s="2" t="s">
        <v>22</v>
      </c>
      <c r="G94" s="2" t="s">
        <v>34</v>
      </c>
      <c r="H94" s="5">
        <v>5</v>
      </c>
      <c r="I94" s="3">
        <v>282.33999999999997</v>
      </c>
      <c r="J94" s="3">
        <f t="shared" si="14"/>
        <v>1411.6999999999998</v>
      </c>
      <c r="K94" s="3">
        <v>1039.97</v>
      </c>
      <c r="L94" s="3">
        <f t="shared" si="15"/>
        <v>371.72999999999979</v>
      </c>
      <c r="M94" s="4" t="str">
        <f t="shared" si="16"/>
        <v>Jan</v>
      </c>
      <c r="N94" s="2" t="str">
        <f t="shared" si="17"/>
        <v>2025</v>
      </c>
      <c r="O94" s="2" t="str">
        <f t="shared" si="18"/>
        <v>Jan-2025</v>
      </c>
      <c r="P94" s="6">
        <f t="shared" si="19"/>
        <v>0.26332081887086478</v>
      </c>
      <c r="Q94" s="3">
        <f t="shared" si="20"/>
        <v>282.33999999999997</v>
      </c>
      <c r="R94" s="2" t="str">
        <f>IF(Table1[[#This Row],[Profit]]&gt;500,"Yes","No")</f>
        <v>No</v>
      </c>
    </row>
    <row r="95" spans="1:18" x14ac:dyDescent="0.35">
      <c r="A95" s="9" t="s">
        <v>402</v>
      </c>
      <c r="B95" s="4">
        <v>45687</v>
      </c>
      <c r="C95" s="2" t="s">
        <v>202</v>
      </c>
      <c r="D95" s="2">
        <v>2308</v>
      </c>
      <c r="E95" s="2" t="s">
        <v>10</v>
      </c>
      <c r="F95" s="2" t="s">
        <v>25</v>
      </c>
      <c r="G95" s="2" t="s">
        <v>26</v>
      </c>
      <c r="H95" s="5">
        <v>10</v>
      </c>
      <c r="I95" s="3">
        <v>363.23</v>
      </c>
      <c r="J95" s="3">
        <f t="shared" si="14"/>
        <v>3632.3</v>
      </c>
      <c r="K95" s="3">
        <v>2221.13</v>
      </c>
      <c r="L95" s="3">
        <f t="shared" si="15"/>
        <v>1411.17</v>
      </c>
      <c r="M95" s="4" t="str">
        <f t="shared" si="16"/>
        <v>Jan</v>
      </c>
      <c r="N95" s="2" t="str">
        <f t="shared" si="17"/>
        <v>2025</v>
      </c>
      <c r="O95" s="2" t="str">
        <f t="shared" si="18"/>
        <v>Jan-2025</v>
      </c>
      <c r="P95" s="6">
        <f t="shared" si="19"/>
        <v>0.38850590534922774</v>
      </c>
      <c r="Q95" s="3">
        <f t="shared" si="20"/>
        <v>363.23</v>
      </c>
      <c r="R95" s="2" t="str">
        <f>IF(Table1[[#This Row],[Profit]]&gt;500,"Yes","No")</f>
        <v>Yes</v>
      </c>
    </row>
    <row r="96" spans="1:18" x14ac:dyDescent="0.35">
      <c r="A96" s="9" t="s">
        <v>292</v>
      </c>
      <c r="B96" s="4">
        <v>45686</v>
      </c>
      <c r="C96" s="2" t="s">
        <v>92</v>
      </c>
      <c r="D96" s="2">
        <v>7039</v>
      </c>
      <c r="E96" s="2" t="s">
        <v>17</v>
      </c>
      <c r="F96" s="2" t="s">
        <v>22</v>
      </c>
      <c r="G96" s="2" t="s">
        <v>28</v>
      </c>
      <c r="H96" s="5">
        <v>10</v>
      </c>
      <c r="I96" s="3">
        <v>138.9</v>
      </c>
      <c r="J96" s="3">
        <f t="shared" si="14"/>
        <v>1389</v>
      </c>
      <c r="K96" s="3">
        <v>865.78</v>
      </c>
      <c r="L96" s="3">
        <f t="shared" si="15"/>
        <v>523.22</v>
      </c>
      <c r="M96" s="4" t="str">
        <f t="shared" si="16"/>
        <v>Jan</v>
      </c>
      <c r="N96" s="2" t="str">
        <f t="shared" si="17"/>
        <v>2025</v>
      </c>
      <c r="O96" s="2" t="str">
        <f t="shared" si="18"/>
        <v>Jan-2025</v>
      </c>
      <c r="P96" s="6">
        <f t="shared" si="19"/>
        <v>0.37668826493880492</v>
      </c>
      <c r="Q96" s="3">
        <f t="shared" si="20"/>
        <v>138.9</v>
      </c>
      <c r="R96" s="2" t="str">
        <f>IF(Table1[[#This Row],[Profit]]&gt;500,"Yes","No")</f>
        <v>Yes</v>
      </c>
    </row>
    <row r="97" spans="1:18" x14ac:dyDescent="0.35">
      <c r="A97" s="9" t="s">
        <v>391</v>
      </c>
      <c r="B97" s="4">
        <v>45682</v>
      </c>
      <c r="C97" s="2" t="s">
        <v>191</v>
      </c>
      <c r="D97" s="2">
        <v>8930</v>
      </c>
      <c r="E97" s="2" t="s">
        <v>24</v>
      </c>
      <c r="F97" s="2" t="s">
        <v>22</v>
      </c>
      <c r="G97" s="2" t="s">
        <v>34</v>
      </c>
      <c r="H97" s="5">
        <v>1</v>
      </c>
      <c r="I97" s="3">
        <v>395.81</v>
      </c>
      <c r="J97" s="3">
        <f t="shared" si="14"/>
        <v>395.81</v>
      </c>
      <c r="K97" s="3">
        <v>336.68</v>
      </c>
      <c r="L97" s="3">
        <f t="shared" si="15"/>
        <v>59.129999999999995</v>
      </c>
      <c r="M97" s="4" t="str">
        <f t="shared" si="16"/>
        <v>Jan</v>
      </c>
      <c r="N97" s="2" t="str">
        <f t="shared" si="17"/>
        <v>2025</v>
      </c>
      <c r="O97" s="2" t="str">
        <f t="shared" si="18"/>
        <v>Jan-2025</v>
      </c>
      <c r="P97" s="6">
        <f t="shared" si="19"/>
        <v>0.14938985877062225</v>
      </c>
      <c r="Q97" s="3">
        <f t="shared" si="20"/>
        <v>395.81</v>
      </c>
      <c r="R97" s="2" t="str">
        <f>IF(Table1[[#This Row],[Profit]]&gt;500,"Yes","No")</f>
        <v>No</v>
      </c>
    </row>
    <row r="98" spans="1:18" x14ac:dyDescent="0.35">
      <c r="A98" s="9" t="s">
        <v>341</v>
      </c>
      <c r="B98" s="4">
        <v>45681</v>
      </c>
      <c r="C98" s="2" t="s">
        <v>141</v>
      </c>
      <c r="D98" s="2">
        <v>7549</v>
      </c>
      <c r="E98" s="2" t="s">
        <v>10</v>
      </c>
      <c r="F98" s="2" t="s">
        <v>15</v>
      </c>
      <c r="G98" s="2" t="s">
        <v>19</v>
      </c>
      <c r="H98" s="5">
        <v>1</v>
      </c>
      <c r="I98" s="3">
        <v>397.41</v>
      </c>
      <c r="J98" s="3">
        <f t="shared" ref="J98:J129" si="21">H98*I98</f>
        <v>397.41</v>
      </c>
      <c r="K98" s="3">
        <v>240.26</v>
      </c>
      <c r="L98" s="3">
        <f t="shared" ref="L98:L129" si="22">J98-K98</f>
        <v>157.15000000000003</v>
      </c>
      <c r="M98" s="4" t="str">
        <f t="shared" ref="M98:M129" si="23">TEXT(B98,"MMM")</f>
        <v>Jan</v>
      </c>
      <c r="N98" s="2" t="str">
        <f t="shared" ref="N98:N129" si="24">TEXT(B98,"YYYY")</f>
        <v>2025</v>
      </c>
      <c r="O98" s="2" t="str">
        <f t="shared" ref="O98:O129" si="25">TEXT(B98,"mmm-yyyy")</f>
        <v>Jan-2025</v>
      </c>
      <c r="P98" s="6">
        <f t="shared" ref="P98:P129" si="26">IF(H98=0,0,(L98/J98))</f>
        <v>0.39543544450315798</v>
      </c>
      <c r="Q98" s="3">
        <f t="shared" ref="Q98:Q129" si="27">J98/H98</f>
        <v>397.41</v>
      </c>
      <c r="R98" s="2" t="str">
        <f>IF(Table1[[#This Row],[Profit]]&gt;500,"Yes","No")</f>
        <v>No</v>
      </c>
    </row>
    <row r="99" spans="1:18" x14ac:dyDescent="0.35">
      <c r="A99" s="9" t="s">
        <v>330</v>
      </c>
      <c r="B99" s="4">
        <v>45677</v>
      </c>
      <c r="C99" s="2" t="s">
        <v>130</v>
      </c>
      <c r="D99" s="2">
        <v>6357</v>
      </c>
      <c r="E99" s="2" t="s">
        <v>17</v>
      </c>
      <c r="F99" s="2" t="s">
        <v>15</v>
      </c>
      <c r="G99" s="2" t="s">
        <v>32</v>
      </c>
      <c r="H99" s="5">
        <v>10</v>
      </c>
      <c r="I99" s="3">
        <v>322.73</v>
      </c>
      <c r="J99" s="3">
        <f t="shared" si="21"/>
        <v>3227.3</v>
      </c>
      <c r="K99" s="3">
        <v>2198.4699999999998</v>
      </c>
      <c r="L99" s="3">
        <f t="shared" si="22"/>
        <v>1028.8300000000004</v>
      </c>
      <c r="M99" s="4" t="str">
        <f t="shared" si="23"/>
        <v>Jan</v>
      </c>
      <c r="N99" s="2" t="str">
        <f t="shared" si="24"/>
        <v>2025</v>
      </c>
      <c r="O99" s="2" t="str">
        <f t="shared" si="25"/>
        <v>Jan-2025</v>
      </c>
      <c r="P99" s="6">
        <f t="shared" si="26"/>
        <v>0.31878970036872939</v>
      </c>
      <c r="Q99" s="3">
        <f t="shared" si="27"/>
        <v>322.73</v>
      </c>
      <c r="R99" s="2" t="str">
        <f>IF(Table1[[#This Row],[Profit]]&gt;500,"Yes","No")</f>
        <v>Yes</v>
      </c>
    </row>
    <row r="100" spans="1:18" x14ac:dyDescent="0.35">
      <c r="A100" s="9" t="s">
        <v>276</v>
      </c>
      <c r="B100" s="4">
        <v>45675</v>
      </c>
      <c r="C100" s="2" t="s">
        <v>76</v>
      </c>
      <c r="D100" s="2">
        <v>3030</v>
      </c>
      <c r="E100" s="2" t="s">
        <v>13</v>
      </c>
      <c r="F100" s="2" t="s">
        <v>20</v>
      </c>
      <c r="G100" s="2" t="s">
        <v>27</v>
      </c>
      <c r="H100" s="5">
        <v>7</v>
      </c>
      <c r="I100" s="3">
        <v>216.19</v>
      </c>
      <c r="J100" s="3">
        <f t="shared" si="21"/>
        <v>1513.33</v>
      </c>
      <c r="K100" s="3">
        <v>1143.58</v>
      </c>
      <c r="L100" s="3">
        <f t="shared" si="22"/>
        <v>369.75</v>
      </c>
      <c r="M100" s="4" t="str">
        <f t="shared" si="23"/>
        <v>Jan</v>
      </c>
      <c r="N100" s="2" t="str">
        <f t="shared" si="24"/>
        <v>2025</v>
      </c>
      <c r="O100" s="2" t="str">
        <f t="shared" si="25"/>
        <v>Jan-2025</v>
      </c>
      <c r="P100" s="6">
        <f t="shared" si="26"/>
        <v>0.24432873200161234</v>
      </c>
      <c r="Q100" s="3">
        <f t="shared" si="27"/>
        <v>216.19</v>
      </c>
      <c r="R100" s="2" t="str">
        <f>IF(Table1[[#This Row],[Profit]]&gt;500,"Yes","No")</f>
        <v>No</v>
      </c>
    </row>
    <row r="101" spans="1:18" x14ac:dyDescent="0.35">
      <c r="A101" s="10" t="s">
        <v>250</v>
      </c>
      <c r="B101" s="4">
        <v>45674</v>
      </c>
      <c r="C101" s="2" t="s">
        <v>50</v>
      </c>
      <c r="D101" s="2">
        <v>3611</v>
      </c>
      <c r="E101" s="2" t="s">
        <v>24</v>
      </c>
      <c r="F101" s="2" t="s">
        <v>11</v>
      </c>
      <c r="G101" s="2" t="s">
        <v>14</v>
      </c>
      <c r="H101" s="5">
        <v>9</v>
      </c>
      <c r="I101" s="3">
        <v>95.64</v>
      </c>
      <c r="J101" s="3">
        <f t="shared" si="21"/>
        <v>860.76</v>
      </c>
      <c r="K101" s="3">
        <v>673.85</v>
      </c>
      <c r="L101" s="3">
        <f t="shared" si="22"/>
        <v>186.90999999999997</v>
      </c>
      <c r="M101" s="4" t="str">
        <f t="shared" si="23"/>
        <v>Jan</v>
      </c>
      <c r="N101" s="2" t="str">
        <f t="shared" si="24"/>
        <v>2025</v>
      </c>
      <c r="O101" s="2" t="str">
        <f t="shared" si="25"/>
        <v>Jan-2025</v>
      </c>
      <c r="P101" s="6">
        <f t="shared" si="26"/>
        <v>0.21714531344393323</v>
      </c>
      <c r="Q101" s="3">
        <f t="shared" si="27"/>
        <v>95.64</v>
      </c>
      <c r="R101" s="2" t="str">
        <f>IF(Table1[[#This Row],[Profit]]&gt;500,"Yes","No")</f>
        <v>No</v>
      </c>
    </row>
    <row r="102" spans="1:18" x14ac:dyDescent="0.35">
      <c r="A102" s="9" t="s">
        <v>431</v>
      </c>
      <c r="B102" s="4">
        <v>45670</v>
      </c>
      <c r="C102" s="2" t="s">
        <v>231</v>
      </c>
      <c r="D102" s="2">
        <v>7494</v>
      </c>
      <c r="E102" s="2" t="s">
        <v>17</v>
      </c>
      <c r="F102" s="2" t="s">
        <v>15</v>
      </c>
      <c r="G102" s="2" t="s">
        <v>19</v>
      </c>
      <c r="H102" s="5">
        <v>4</v>
      </c>
      <c r="I102" s="3">
        <v>237.26</v>
      </c>
      <c r="J102" s="3">
        <f t="shared" si="21"/>
        <v>949.04</v>
      </c>
      <c r="K102" s="3">
        <v>635.16</v>
      </c>
      <c r="L102" s="3">
        <f t="shared" si="22"/>
        <v>313.88</v>
      </c>
      <c r="M102" s="4" t="str">
        <f t="shared" si="23"/>
        <v>Jan</v>
      </c>
      <c r="N102" s="2" t="str">
        <f t="shared" si="24"/>
        <v>2025</v>
      </c>
      <c r="O102" s="2" t="str">
        <f t="shared" si="25"/>
        <v>Jan-2025</v>
      </c>
      <c r="P102" s="6">
        <f t="shared" si="26"/>
        <v>0.33073421562842453</v>
      </c>
      <c r="Q102" s="3">
        <f t="shared" si="27"/>
        <v>237.26</v>
      </c>
      <c r="R102" s="2" t="str">
        <f>IF(Table1[[#This Row],[Profit]]&gt;500,"Yes","No")</f>
        <v>No</v>
      </c>
    </row>
    <row r="103" spans="1:18" x14ac:dyDescent="0.35">
      <c r="A103" s="9" t="s">
        <v>290</v>
      </c>
      <c r="B103" s="4">
        <v>45669</v>
      </c>
      <c r="C103" s="2" t="s">
        <v>90</v>
      </c>
      <c r="D103" s="2">
        <v>7785</v>
      </c>
      <c r="E103" s="2" t="s">
        <v>10</v>
      </c>
      <c r="F103" s="2" t="s">
        <v>22</v>
      </c>
      <c r="G103" s="2" t="s">
        <v>23</v>
      </c>
      <c r="H103" s="5">
        <v>1</v>
      </c>
      <c r="I103" s="3">
        <v>36.619999999999997</v>
      </c>
      <c r="J103" s="3">
        <f t="shared" si="21"/>
        <v>36.619999999999997</v>
      </c>
      <c r="K103" s="3">
        <v>26.06</v>
      </c>
      <c r="L103" s="3">
        <f t="shared" si="22"/>
        <v>10.559999999999999</v>
      </c>
      <c r="M103" s="4" t="str">
        <f t="shared" si="23"/>
        <v>Jan</v>
      </c>
      <c r="N103" s="2" t="str">
        <f t="shared" si="24"/>
        <v>2025</v>
      </c>
      <c r="O103" s="2" t="str">
        <f t="shared" si="25"/>
        <v>Jan-2025</v>
      </c>
      <c r="P103" s="6">
        <f t="shared" si="26"/>
        <v>0.28836701256144182</v>
      </c>
      <c r="Q103" s="3">
        <f t="shared" si="27"/>
        <v>36.619999999999997</v>
      </c>
      <c r="R103" s="2" t="str">
        <f>IF(Table1[[#This Row],[Profit]]&gt;500,"Yes","No")</f>
        <v>No</v>
      </c>
    </row>
    <row r="104" spans="1:18" x14ac:dyDescent="0.35">
      <c r="A104" s="9" t="s">
        <v>320</v>
      </c>
      <c r="B104" s="4">
        <v>45666</v>
      </c>
      <c r="C104" s="2" t="s">
        <v>120</v>
      </c>
      <c r="D104" s="2">
        <v>8321</v>
      </c>
      <c r="E104" s="2" t="s">
        <v>13</v>
      </c>
      <c r="F104" s="2" t="s">
        <v>15</v>
      </c>
      <c r="G104" s="2" t="s">
        <v>16</v>
      </c>
      <c r="H104" s="5">
        <v>6</v>
      </c>
      <c r="I104" s="3">
        <v>63.91</v>
      </c>
      <c r="J104" s="3">
        <f t="shared" si="21"/>
        <v>383.46</v>
      </c>
      <c r="K104" s="3">
        <v>234.83</v>
      </c>
      <c r="L104" s="3">
        <f t="shared" si="22"/>
        <v>148.62999999999997</v>
      </c>
      <c r="M104" s="4" t="str">
        <f t="shared" si="23"/>
        <v>Jan</v>
      </c>
      <c r="N104" s="2" t="str">
        <f t="shared" si="24"/>
        <v>2025</v>
      </c>
      <c r="O104" s="2" t="str">
        <f t="shared" si="25"/>
        <v>Jan-2025</v>
      </c>
      <c r="P104" s="6">
        <f t="shared" si="26"/>
        <v>0.38760235748187549</v>
      </c>
      <c r="Q104" s="3">
        <f t="shared" si="27"/>
        <v>63.91</v>
      </c>
      <c r="R104" s="2" t="str">
        <f>IF(Table1[[#This Row],[Profit]]&gt;500,"Yes","No")</f>
        <v>No</v>
      </c>
    </row>
    <row r="105" spans="1:18" x14ac:dyDescent="0.35">
      <c r="A105" s="9" t="s">
        <v>261</v>
      </c>
      <c r="B105" s="4">
        <v>45665</v>
      </c>
      <c r="C105" s="2" t="s">
        <v>61</v>
      </c>
      <c r="D105" s="2">
        <v>4211</v>
      </c>
      <c r="E105" s="2" t="s">
        <v>10</v>
      </c>
      <c r="F105" s="2" t="s">
        <v>25</v>
      </c>
      <c r="G105" s="2" t="s">
        <v>30</v>
      </c>
      <c r="H105" s="5">
        <v>8</v>
      </c>
      <c r="I105" s="3">
        <v>130.57</v>
      </c>
      <c r="J105" s="3">
        <f t="shared" si="21"/>
        <v>1044.56</v>
      </c>
      <c r="K105" s="3">
        <v>859.06</v>
      </c>
      <c r="L105" s="3">
        <f t="shared" si="22"/>
        <v>185.5</v>
      </c>
      <c r="M105" s="4" t="str">
        <f t="shared" si="23"/>
        <v>Jan</v>
      </c>
      <c r="N105" s="2" t="str">
        <f t="shared" si="24"/>
        <v>2025</v>
      </c>
      <c r="O105" s="2" t="str">
        <f t="shared" si="25"/>
        <v>Jan-2025</v>
      </c>
      <c r="P105" s="6">
        <f t="shared" si="26"/>
        <v>0.17758673508462894</v>
      </c>
      <c r="Q105" s="3">
        <f t="shared" si="27"/>
        <v>130.57</v>
      </c>
      <c r="R105" s="2" t="str">
        <f>IF(Table1[[#This Row],[Profit]]&gt;500,"Yes","No")</f>
        <v>No</v>
      </c>
    </row>
    <row r="106" spans="1:18" x14ac:dyDescent="0.35">
      <c r="A106" s="9" t="s">
        <v>326</v>
      </c>
      <c r="B106" s="4">
        <v>45665</v>
      </c>
      <c r="C106" s="2" t="s">
        <v>126</v>
      </c>
      <c r="D106" s="2">
        <v>7924</v>
      </c>
      <c r="E106" s="2" t="s">
        <v>17</v>
      </c>
      <c r="F106" s="2" t="s">
        <v>11</v>
      </c>
      <c r="G106" s="2" t="s">
        <v>18</v>
      </c>
      <c r="H106" s="5">
        <v>6</v>
      </c>
      <c r="I106" s="3">
        <v>44.31</v>
      </c>
      <c r="J106" s="3">
        <f t="shared" si="21"/>
        <v>265.86</v>
      </c>
      <c r="K106" s="3">
        <v>196.64</v>
      </c>
      <c r="L106" s="3">
        <f t="shared" si="22"/>
        <v>69.220000000000027</v>
      </c>
      <c r="M106" s="4" t="str">
        <f t="shared" si="23"/>
        <v>Jan</v>
      </c>
      <c r="N106" s="2" t="str">
        <f t="shared" si="24"/>
        <v>2025</v>
      </c>
      <c r="O106" s="2" t="str">
        <f t="shared" si="25"/>
        <v>Jan-2025</v>
      </c>
      <c r="P106" s="6">
        <f t="shared" si="26"/>
        <v>0.26036259685548796</v>
      </c>
      <c r="Q106" s="3">
        <f t="shared" si="27"/>
        <v>44.31</v>
      </c>
      <c r="R106" s="2" t="str">
        <f>IF(Table1[[#This Row],[Profit]]&gt;500,"Yes","No")</f>
        <v>No</v>
      </c>
    </row>
    <row r="107" spans="1:18" x14ac:dyDescent="0.35">
      <c r="A107" s="9" t="s">
        <v>291</v>
      </c>
      <c r="B107" s="4">
        <v>45663</v>
      </c>
      <c r="C107" s="2" t="s">
        <v>91</v>
      </c>
      <c r="D107" s="2">
        <v>7846</v>
      </c>
      <c r="E107" s="2" t="s">
        <v>10</v>
      </c>
      <c r="F107" s="2" t="s">
        <v>22</v>
      </c>
      <c r="G107" s="2" t="s">
        <v>28</v>
      </c>
      <c r="H107" s="5">
        <v>1</v>
      </c>
      <c r="I107" s="3">
        <v>475.92</v>
      </c>
      <c r="J107" s="3">
        <f t="shared" si="21"/>
        <v>475.92</v>
      </c>
      <c r="K107" s="3">
        <v>391.29</v>
      </c>
      <c r="L107" s="3">
        <f t="shared" si="22"/>
        <v>84.63</v>
      </c>
      <c r="M107" s="4" t="str">
        <f t="shared" si="23"/>
        <v>Jan</v>
      </c>
      <c r="N107" s="2" t="str">
        <f t="shared" si="24"/>
        <v>2025</v>
      </c>
      <c r="O107" s="2" t="str">
        <f t="shared" si="25"/>
        <v>Jan-2025</v>
      </c>
      <c r="P107" s="6">
        <f t="shared" si="26"/>
        <v>0.17782400403429147</v>
      </c>
      <c r="Q107" s="3">
        <f t="shared" si="27"/>
        <v>475.92</v>
      </c>
      <c r="R107" s="2" t="str">
        <f>IF(Table1[[#This Row],[Profit]]&gt;500,"Yes","No")</f>
        <v>No</v>
      </c>
    </row>
    <row r="108" spans="1:18" x14ac:dyDescent="0.35">
      <c r="A108" s="9" t="s">
        <v>346</v>
      </c>
      <c r="B108" s="4">
        <v>45663</v>
      </c>
      <c r="C108" s="2" t="s">
        <v>146</v>
      </c>
      <c r="D108" s="2">
        <v>8808</v>
      </c>
      <c r="E108" s="2" t="s">
        <v>13</v>
      </c>
      <c r="F108" s="2" t="s">
        <v>15</v>
      </c>
      <c r="G108" s="2" t="s">
        <v>19</v>
      </c>
      <c r="H108" s="5">
        <v>2</v>
      </c>
      <c r="I108" s="3">
        <v>336.95</v>
      </c>
      <c r="J108" s="3">
        <f t="shared" si="21"/>
        <v>673.9</v>
      </c>
      <c r="K108" s="3">
        <v>563.96</v>
      </c>
      <c r="L108" s="3">
        <f t="shared" si="22"/>
        <v>109.93999999999994</v>
      </c>
      <c r="M108" s="4" t="str">
        <f t="shared" si="23"/>
        <v>Jan</v>
      </c>
      <c r="N108" s="2" t="str">
        <f t="shared" si="24"/>
        <v>2025</v>
      </c>
      <c r="O108" s="2" t="str">
        <f t="shared" si="25"/>
        <v>Jan-2025</v>
      </c>
      <c r="P108" s="6">
        <f t="shared" si="26"/>
        <v>0.16313993174061425</v>
      </c>
      <c r="Q108" s="3">
        <f t="shared" si="27"/>
        <v>336.95</v>
      </c>
      <c r="R108" s="2" t="str">
        <f>IF(Table1[[#This Row],[Profit]]&gt;500,"Yes","No")</f>
        <v>No</v>
      </c>
    </row>
    <row r="109" spans="1:18" x14ac:dyDescent="0.35">
      <c r="A109" s="9" t="s">
        <v>384</v>
      </c>
      <c r="B109" s="4">
        <v>45663</v>
      </c>
      <c r="C109" s="2" t="s">
        <v>184</v>
      </c>
      <c r="D109" s="2">
        <v>2559</v>
      </c>
      <c r="E109" s="2" t="s">
        <v>13</v>
      </c>
      <c r="F109" s="2" t="s">
        <v>20</v>
      </c>
      <c r="G109" s="2" t="s">
        <v>31</v>
      </c>
      <c r="H109" s="5">
        <v>7</v>
      </c>
      <c r="I109" s="3">
        <v>86.74</v>
      </c>
      <c r="J109" s="3">
        <f t="shared" si="21"/>
        <v>607.17999999999995</v>
      </c>
      <c r="K109" s="3">
        <v>371.03</v>
      </c>
      <c r="L109" s="3">
        <f t="shared" si="22"/>
        <v>236.14999999999998</v>
      </c>
      <c r="M109" s="4" t="str">
        <f t="shared" si="23"/>
        <v>Jan</v>
      </c>
      <c r="N109" s="2" t="str">
        <f t="shared" si="24"/>
        <v>2025</v>
      </c>
      <c r="O109" s="2" t="str">
        <f t="shared" si="25"/>
        <v>Jan-2025</v>
      </c>
      <c r="P109" s="6">
        <f t="shared" si="26"/>
        <v>0.38892914786389537</v>
      </c>
      <c r="Q109" s="3">
        <f t="shared" si="27"/>
        <v>86.74</v>
      </c>
      <c r="R109" s="2" t="str">
        <f>IF(Table1[[#This Row],[Profit]]&gt;500,"Yes","No")</f>
        <v>No</v>
      </c>
    </row>
    <row r="110" spans="1:18" x14ac:dyDescent="0.35">
      <c r="A110" s="9" t="s">
        <v>283</v>
      </c>
      <c r="B110" s="4">
        <v>45660</v>
      </c>
      <c r="C110" s="2" t="s">
        <v>83</v>
      </c>
      <c r="D110" s="2">
        <v>2696</v>
      </c>
      <c r="E110" s="2" t="s">
        <v>10</v>
      </c>
      <c r="F110" s="2" t="s">
        <v>11</v>
      </c>
      <c r="G110" s="2" t="s">
        <v>18</v>
      </c>
      <c r="H110" s="5">
        <v>6</v>
      </c>
      <c r="I110" s="3">
        <v>68.319999999999993</v>
      </c>
      <c r="J110" s="3">
        <f t="shared" si="21"/>
        <v>409.91999999999996</v>
      </c>
      <c r="K110" s="3">
        <v>254.93</v>
      </c>
      <c r="L110" s="3">
        <f t="shared" si="22"/>
        <v>154.98999999999995</v>
      </c>
      <c r="M110" s="4" t="str">
        <f t="shared" si="23"/>
        <v>Jan</v>
      </c>
      <c r="N110" s="2" t="str">
        <f t="shared" si="24"/>
        <v>2025</v>
      </c>
      <c r="O110" s="2" t="str">
        <f t="shared" si="25"/>
        <v>Jan-2025</v>
      </c>
      <c r="P110" s="6">
        <f t="shared" si="26"/>
        <v>0.37809816549570641</v>
      </c>
      <c r="Q110" s="3">
        <f t="shared" si="27"/>
        <v>68.319999999999993</v>
      </c>
      <c r="R110" s="2" t="str">
        <f>IF(Table1[[#This Row],[Profit]]&gt;500,"Yes","No")</f>
        <v>No</v>
      </c>
    </row>
    <row r="111" spans="1:18" x14ac:dyDescent="0.35">
      <c r="A111" s="9" t="s">
        <v>398</v>
      </c>
      <c r="B111" s="4">
        <v>45660</v>
      </c>
      <c r="C111" s="2" t="s">
        <v>198</v>
      </c>
      <c r="D111" s="2">
        <v>9910</v>
      </c>
      <c r="E111" s="2" t="s">
        <v>24</v>
      </c>
      <c r="F111" s="2" t="s">
        <v>22</v>
      </c>
      <c r="G111" s="2" t="s">
        <v>29</v>
      </c>
      <c r="H111" s="5">
        <v>9</v>
      </c>
      <c r="I111" s="3">
        <v>201.12</v>
      </c>
      <c r="J111" s="3">
        <f t="shared" si="21"/>
        <v>1810.08</v>
      </c>
      <c r="K111" s="3">
        <v>1213.93</v>
      </c>
      <c r="L111" s="3">
        <f t="shared" si="22"/>
        <v>596.14999999999986</v>
      </c>
      <c r="M111" s="4" t="str">
        <f t="shared" si="23"/>
        <v>Jan</v>
      </c>
      <c r="N111" s="2" t="str">
        <f t="shared" si="24"/>
        <v>2025</v>
      </c>
      <c r="O111" s="2" t="str">
        <f t="shared" si="25"/>
        <v>Jan-2025</v>
      </c>
      <c r="P111" s="6">
        <f t="shared" si="26"/>
        <v>0.32935008397418891</v>
      </c>
      <c r="Q111" s="3">
        <f t="shared" si="27"/>
        <v>201.12</v>
      </c>
      <c r="R111" s="2" t="str">
        <f>IF(Table1[[#This Row],[Profit]]&gt;500,"Yes","No")</f>
        <v>Yes</v>
      </c>
    </row>
    <row r="112" spans="1:18" x14ac:dyDescent="0.35">
      <c r="A112" s="9" t="s">
        <v>257</v>
      </c>
      <c r="B112" s="4">
        <v>45657</v>
      </c>
      <c r="C112" s="2" t="s">
        <v>57</v>
      </c>
      <c r="D112" s="2">
        <v>8688</v>
      </c>
      <c r="E112" s="2" t="s">
        <v>17</v>
      </c>
      <c r="F112" s="2" t="s">
        <v>20</v>
      </c>
      <c r="G112" s="2" t="s">
        <v>27</v>
      </c>
      <c r="H112" s="5">
        <v>5</v>
      </c>
      <c r="I112" s="3">
        <v>275.2</v>
      </c>
      <c r="J112" s="3">
        <f t="shared" si="21"/>
        <v>1376</v>
      </c>
      <c r="K112" s="3">
        <v>1067.82</v>
      </c>
      <c r="L112" s="3">
        <f t="shared" si="22"/>
        <v>308.18000000000006</v>
      </c>
      <c r="M112" s="4" t="str">
        <f t="shared" si="23"/>
        <v>Dec</v>
      </c>
      <c r="N112" s="2" t="str">
        <f t="shared" si="24"/>
        <v>2024</v>
      </c>
      <c r="O112" s="2" t="str">
        <f t="shared" si="25"/>
        <v>Dec-2024</v>
      </c>
      <c r="P112" s="6">
        <f t="shared" si="26"/>
        <v>0.223968023255814</v>
      </c>
      <c r="Q112" s="3">
        <f t="shared" si="27"/>
        <v>275.2</v>
      </c>
      <c r="R112" s="2" t="str">
        <f>IF(Table1[[#This Row],[Profit]]&gt;500,"Yes","No")</f>
        <v>No</v>
      </c>
    </row>
    <row r="113" spans="1:18" x14ac:dyDescent="0.35">
      <c r="A113" s="9" t="s">
        <v>296</v>
      </c>
      <c r="B113" s="4">
        <v>45653</v>
      </c>
      <c r="C113" s="2" t="s">
        <v>96</v>
      </c>
      <c r="D113" s="2">
        <v>6123</v>
      </c>
      <c r="E113" s="2" t="s">
        <v>17</v>
      </c>
      <c r="F113" s="2" t="s">
        <v>15</v>
      </c>
      <c r="G113" s="2" t="s">
        <v>36</v>
      </c>
      <c r="H113" s="5">
        <v>3</v>
      </c>
      <c r="I113" s="3">
        <v>25.04</v>
      </c>
      <c r="J113" s="3">
        <f t="shared" si="21"/>
        <v>75.12</v>
      </c>
      <c r="K113" s="3">
        <v>63.91</v>
      </c>
      <c r="L113" s="3">
        <f t="shared" si="22"/>
        <v>11.210000000000008</v>
      </c>
      <c r="M113" s="4" t="str">
        <f t="shared" si="23"/>
        <v>Dec</v>
      </c>
      <c r="N113" s="2" t="str">
        <f t="shared" si="24"/>
        <v>2024</v>
      </c>
      <c r="O113" s="2" t="str">
        <f t="shared" si="25"/>
        <v>Dec-2024</v>
      </c>
      <c r="P113" s="6">
        <f t="shared" si="26"/>
        <v>0.14922790202342928</v>
      </c>
      <c r="Q113" s="3">
        <f t="shared" si="27"/>
        <v>25.040000000000003</v>
      </c>
      <c r="R113" s="2" t="str">
        <f>IF(Table1[[#This Row],[Profit]]&gt;500,"Yes","No")</f>
        <v>No</v>
      </c>
    </row>
    <row r="114" spans="1:18" x14ac:dyDescent="0.35">
      <c r="A114" s="9" t="s">
        <v>286</v>
      </c>
      <c r="B114" s="4">
        <v>45650</v>
      </c>
      <c r="C114" s="2" t="s">
        <v>86</v>
      </c>
      <c r="D114" s="2">
        <v>7782</v>
      </c>
      <c r="E114" s="2" t="s">
        <v>13</v>
      </c>
      <c r="F114" s="2" t="s">
        <v>22</v>
      </c>
      <c r="G114" s="2" t="s">
        <v>34</v>
      </c>
      <c r="H114" s="5">
        <v>1</v>
      </c>
      <c r="I114" s="3">
        <v>252.92</v>
      </c>
      <c r="J114" s="3">
        <f t="shared" si="21"/>
        <v>252.92</v>
      </c>
      <c r="K114" s="3">
        <v>195.73</v>
      </c>
      <c r="L114" s="3">
        <f t="shared" si="22"/>
        <v>57.19</v>
      </c>
      <c r="M114" s="4" t="str">
        <f t="shared" si="23"/>
        <v>Dec</v>
      </c>
      <c r="N114" s="2" t="str">
        <f t="shared" si="24"/>
        <v>2024</v>
      </c>
      <c r="O114" s="2" t="str">
        <f t="shared" si="25"/>
        <v>Dec-2024</v>
      </c>
      <c r="P114" s="6">
        <f t="shared" si="26"/>
        <v>0.22611893088723709</v>
      </c>
      <c r="Q114" s="3">
        <f t="shared" si="27"/>
        <v>252.92</v>
      </c>
      <c r="R114" s="2" t="str">
        <f>IF(Table1[[#This Row],[Profit]]&gt;500,"Yes","No")</f>
        <v>No</v>
      </c>
    </row>
    <row r="115" spans="1:18" x14ac:dyDescent="0.35">
      <c r="A115" s="9" t="s">
        <v>293</v>
      </c>
      <c r="B115" s="4">
        <v>45646</v>
      </c>
      <c r="C115" s="2" t="s">
        <v>93</v>
      </c>
      <c r="D115" s="2">
        <v>9150</v>
      </c>
      <c r="E115" s="2" t="s">
        <v>24</v>
      </c>
      <c r="F115" s="2" t="s">
        <v>20</v>
      </c>
      <c r="G115" s="2" t="s">
        <v>35</v>
      </c>
      <c r="H115" s="5">
        <v>8</v>
      </c>
      <c r="I115" s="3">
        <v>272.83</v>
      </c>
      <c r="J115" s="3">
        <f t="shared" si="21"/>
        <v>2182.64</v>
      </c>
      <c r="K115" s="3">
        <v>1773.84</v>
      </c>
      <c r="L115" s="3">
        <f t="shared" si="22"/>
        <v>408.79999999999995</v>
      </c>
      <c r="M115" s="4" t="str">
        <f t="shared" si="23"/>
        <v>Dec</v>
      </c>
      <c r="N115" s="2" t="str">
        <f t="shared" si="24"/>
        <v>2024</v>
      </c>
      <c r="O115" s="2" t="str">
        <f t="shared" si="25"/>
        <v>Dec-2024</v>
      </c>
      <c r="P115" s="6">
        <f t="shared" si="26"/>
        <v>0.18729611846204594</v>
      </c>
      <c r="Q115" s="3">
        <f t="shared" si="27"/>
        <v>272.83</v>
      </c>
      <c r="R115" s="2" t="str">
        <f>IF(Table1[[#This Row],[Profit]]&gt;500,"Yes","No")</f>
        <v>No</v>
      </c>
    </row>
    <row r="116" spans="1:18" x14ac:dyDescent="0.35">
      <c r="A116" s="9" t="s">
        <v>401</v>
      </c>
      <c r="B116" s="4">
        <v>45645</v>
      </c>
      <c r="C116" s="2" t="s">
        <v>201</v>
      </c>
      <c r="D116" s="2">
        <v>4460</v>
      </c>
      <c r="E116" s="2" t="s">
        <v>13</v>
      </c>
      <c r="F116" s="2" t="s">
        <v>15</v>
      </c>
      <c r="G116" s="2" t="s">
        <v>16</v>
      </c>
      <c r="H116" s="5">
        <v>1</v>
      </c>
      <c r="I116" s="3">
        <v>413.17</v>
      </c>
      <c r="J116" s="3">
        <f t="shared" si="21"/>
        <v>413.17</v>
      </c>
      <c r="K116" s="3">
        <v>278.89999999999998</v>
      </c>
      <c r="L116" s="3">
        <f t="shared" si="22"/>
        <v>134.27000000000004</v>
      </c>
      <c r="M116" s="4" t="str">
        <f t="shared" si="23"/>
        <v>Dec</v>
      </c>
      <c r="N116" s="2" t="str">
        <f t="shared" si="24"/>
        <v>2024</v>
      </c>
      <c r="O116" s="2" t="str">
        <f t="shared" si="25"/>
        <v>Dec-2024</v>
      </c>
      <c r="P116" s="6">
        <f t="shared" si="26"/>
        <v>0.32497519180966683</v>
      </c>
      <c r="Q116" s="3">
        <f t="shared" si="27"/>
        <v>413.17</v>
      </c>
      <c r="R116" s="2" t="str">
        <f>IF(Table1[[#This Row],[Profit]]&gt;500,"Yes","No")</f>
        <v>No</v>
      </c>
    </row>
    <row r="117" spans="1:18" x14ac:dyDescent="0.35">
      <c r="A117" s="9" t="s">
        <v>413</v>
      </c>
      <c r="B117" s="4">
        <v>45644</v>
      </c>
      <c r="C117" s="2" t="s">
        <v>213</v>
      </c>
      <c r="D117" s="2">
        <v>1886</v>
      </c>
      <c r="E117" s="2" t="s">
        <v>24</v>
      </c>
      <c r="F117" s="2" t="s">
        <v>20</v>
      </c>
      <c r="G117" s="2" t="s">
        <v>21</v>
      </c>
      <c r="H117" s="5">
        <v>10</v>
      </c>
      <c r="I117" s="3">
        <v>313.44</v>
      </c>
      <c r="J117" s="3">
        <f t="shared" si="21"/>
        <v>3134.4</v>
      </c>
      <c r="K117" s="3">
        <v>2142.77</v>
      </c>
      <c r="L117" s="3">
        <f t="shared" si="22"/>
        <v>991.63000000000011</v>
      </c>
      <c r="M117" s="4" t="str">
        <f t="shared" si="23"/>
        <v>Dec</v>
      </c>
      <c r="N117" s="2" t="str">
        <f t="shared" si="24"/>
        <v>2024</v>
      </c>
      <c r="O117" s="2" t="str">
        <f t="shared" si="25"/>
        <v>Dec-2024</v>
      </c>
      <c r="P117" s="6">
        <f t="shared" si="26"/>
        <v>0.31636995916283822</v>
      </c>
      <c r="Q117" s="3">
        <f t="shared" si="27"/>
        <v>313.44</v>
      </c>
      <c r="R117" s="2" t="str">
        <f>IF(Table1[[#This Row],[Profit]]&gt;500,"Yes","No")</f>
        <v>Yes</v>
      </c>
    </row>
    <row r="118" spans="1:18" x14ac:dyDescent="0.35">
      <c r="A118" s="9" t="s">
        <v>297</v>
      </c>
      <c r="B118" s="4">
        <v>45643</v>
      </c>
      <c r="C118" s="2" t="s">
        <v>97</v>
      </c>
      <c r="D118" s="2">
        <v>2162</v>
      </c>
      <c r="E118" s="2" t="s">
        <v>10</v>
      </c>
      <c r="F118" s="2" t="s">
        <v>15</v>
      </c>
      <c r="G118" s="2" t="s">
        <v>36</v>
      </c>
      <c r="H118" s="5">
        <v>6</v>
      </c>
      <c r="I118" s="3">
        <v>399.63</v>
      </c>
      <c r="J118" s="3">
        <f t="shared" si="21"/>
        <v>2397.7799999999997</v>
      </c>
      <c r="K118" s="3">
        <v>1504.3</v>
      </c>
      <c r="L118" s="3">
        <f t="shared" si="22"/>
        <v>893.47999999999979</v>
      </c>
      <c r="M118" s="4" t="str">
        <f t="shared" si="23"/>
        <v>Dec</v>
      </c>
      <c r="N118" s="2" t="str">
        <f t="shared" si="24"/>
        <v>2024</v>
      </c>
      <c r="O118" s="2" t="str">
        <f t="shared" si="25"/>
        <v>Dec-2024</v>
      </c>
      <c r="P118" s="6">
        <f t="shared" si="26"/>
        <v>0.37262801424651132</v>
      </c>
      <c r="Q118" s="3">
        <f t="shared" si="27"/>
        <v>399.62999999999994</v>
      </c>
      <c r="R118" s="2" t="str">
        <f>IF(Table1[[#This Row],[Profit]]&gt;500,"Yes","No")</f>
        <v>Yes</v>
      </c>
    </row>
    <row r="119" spans="1:18" x14ac:dyDescent="0.35">
      <c r="A119" s="9" t="s">
        <v>439</v>
      </c>
      <c r="B119" s="4">
        <v>45638</v>
      </c>
      <c r="C119" s="2" t="s">
        <v>239</v>
      </c>
      <c r="D119" s="2">
        <v>6978</v>
      </c>
      <c r="E119" s="2" t="s">
        <v>10</v>
      </c>
      <c r="F119" s="2" t="s">
        <v>11</v>
      </c>
      <c r="G119" s="2" t="s">
        <v>14</v>
      </c>
      <c r="H119" s="5">
        <v>4</v>
      </c>
      <c r="I119" s="3">
        <v>115.47</v>
      </c>
      <c r="J119" s="3">
        <f t="shared" si="21"/>
        <v>461.88</v>
      </c>
      <c r="K119" s="3">
        <v>399.37</v>
      </c>
      <c r="L119" s="3">
        <f t="shared" si="22"/>
        <v>62.509999999999991</v>
      </c>
      <c r="M119" s="4" t="str">
        <f t="shared" si="23"/>
        <v>Dec</v>
      </c>
      <c r="N119" s="2" t="str">
        <f t="shared" si="24"/>
        <v>2024</v>
      </c>
      <c r="O119" s="2" t="str">
        <f t="shared" si="25"/>
        <v>Dec-2024</v>
      </c>
      <c r="P119" s="6">
        <f t="shared" si="26"/>
        <v>0.13533818307785569</v>
      </c>
      <c r="Q119" s="3">
        <f t="shared" si="27"/>
        <v>115.47</v>
      </c>
      <c r="R119" s="2" t="str">
        <f>IF(Table1[[#This Row],[Profit]]&gt;500,"Yes","No")</f>
        <v>No</v>
      </c>
    </row>
    <row r="120" spans="1:18" x14ac:dyDescent="0.35">
      <c r="A120" s="9" t="s">
        <v>325</v>
      </c>
      <c r="B120" s="4">
        <v>45634</v>
      </c>
      <c r="C120" s="2" t="s">
        <v>125</v>
      </c>
      <c r="D120" s="2">
        <v>1446</v>
      </c>
      <c r="E120" s="2" t="s">
        <v>10</v>
      </c>
      <c r="F120" s="2" t="s">
        <v>11</v>
      </c>
      <c r="G120" s="2" t="s">
        <v>14</v>
      </c>
      <c r="H120" s="5">
        <v>5</v>
      </c>
      <c r="I120" s="3">
        <v>425.72</v>
      </c>
      <c r="J120" s="3">
        <f t="shared" si="21"/>
        <v>2128.6000000000004</v>
      </c>
      <c r="K120" s="3">
        <v>1592.86</v>
      </c>
      <c r="L120" s="3">
        <f t="shared" si="22"/>
        <v>535.74000000000046</v>
      </c>
      <c r="M120" s="4" t="str">
        <f t="shared" si="23"/>
        <v>Dec</v>
      </c>
      <c r="N120" s="2" t="str">
        <f t="shared" si="24"/>
        <v>2024</v>
      </c>
      <c r="O120" s="2" t="str">
        <f t="shared" si="25"/>
        <v>Dec-2024</v>
      </c>
      <c r="P120" s="6">
        <f t="shared" si="26"/>
        <v>0.25168655454289224</v>
      </c>
      <c r="Q120" s="3">
        <f t="shared" si="27"/>
        <v>425.72000000000008</v>
      </c>
      <c r="R120" s="2" t="str">
        <f>IF(Table1[[#This Row],[Profit]]&gt;500,"Yes","No")</f>
        <v>Yes</v>
      </c>
    </row>
    <row r="121" spans="1:18" x14ac:dyDescent="0.35">
      <c r="A121" s="9" t="s">
        <v>279</v>
      </c>
      <c r="B121" s="4">
        <v>45632</v>
      </c>
      <c r="C121" s="2" t="s">
        <v>79</v>
      </c>
      <c r="D121" s="2">
        <v>5499</v>
      </c>
      <c r="E121" s="2" t="s">
        <v>24</v>
      </c>
      <c r="F121" s="2" t="s">
        <v>15</v>
      </c>
      <c r="G121" s="2" t="s">
        <v>16</v>
      </c>
      <c r="H121" s="5">
        <v>10</v>
      </c>
      <c r="I121" s="3">
        <v>198.38</v>
      </c>
      <c r="J121" s="3">
        <f t="shared" si="21"/>
        <v>1983.8</v>
      </c>
      <c r="K121" s="3">
        <v>1462.62</v>
      </c>
      <c r="L121" s="3">
        <f t="shared" si="22"/>
        <v>521.18000000000006</v>
      </c>
      <c r="M121" s="4" t="str">
        <f t="shared" si="23"/>
        <v>Dec</v>
      </c>
      <c r="N121" s="2" t="str">
        <f t="shared" si="24"/>
        <v>2024</v>
      </c>
      <c r="O121" s="2" t="str">
        <f t="shared" si="25"/>
        <v>Dec-2024</v>
      </c>
      <c r="P121" s="6">
        <f t="shared" si="26"/>
        <v>0.26271801592902516</v>
      </c>
      <c r="Q121" s="3">
        <f t="shared" si="27"/>
        <v>198.38</v>
      </c>
      <c r="R121" s="2" t="str">
        <f>IF(Table1[[#This Row],[Profit]]&gt;500,"Yes","No")</f>
        <v>Yes</v>
      </c>
    </row>
    <row r="122" spans="1:18" x14ac:dyDescent="0.35">
      <c r="A122" s="9" t="s">
        <v>376</v>
      </c>
      <c r="B122" s="4">
        <v>45632</v>
      </c>
      <c r="C122" s="2" t="s">
        <v>176</v>
      </c>
      <c r="D122" s="2">
        <v>6707</v>
      </c>
      <c r="E122" s="2" t="s">
        <v>10</v>
      </c>
      <c r="F122" s="2" t="s">
        <v>20</v>
      </c>
      <c r="G122" s="2" t="s">
        <v>31</v>
      </c>
      <c r="H122" s="5">
        <v>8</v>
      </c>
      <c r="I122" s="3">
        <v>430.16</v>
      </c>
      <c r="J122" s="3">
        <f t="shared" si="21"/>
        <v>3441.28</v>
      </c>
      <c r="K122" s="3">
        <v>2997.34</v>
      </c>
      <c r="L122" s="3">
        <f t="shared" si="22"/>
        <v>443.94000000000005</v>
      </c>
      <c r="M122" s="4" t="str">
        <f t="shared" si="23"/>
        <v>Dec</v>
      </c>
      <c r="N122" s="2" t="str">
        <f t="shared" si="24"/>
        <v>2024</v>
      </c>
      <c r="O122" s="2" t="str">
        <f t="shared" si="25"/>
        <v>Dec-2024</v>
      </c>
      <c r="P122" s="6">
        <f t="shared" si="26"/>
        <v>0.12900432397247535</v>
      </c>
      <c r="Q122" s="3">
        <f t="shared" si="27"/>
        <v>430.16</v>
      </c>
      <c r="R122" s="2" t="str">
        <f>IF(Table1[[#This Row],[Profit]]&gt;500,"Yes","No")</f>
        <v>No</v>
      </c>
    </row>
    <row r="123" spans="1:18" x14ac:dyDescent="0.35">
      <c r="A123" s="9" t="s">
        <v>270</v>
      </c>
      <c r="B123" s="4">
        <v>45630</v>
      </c>
      <c r="C123" s="2" t="s">
        <v>70</v>
      </c>
      <c r="D123" s="2">
        <v>8346</v>
      </c>
      <c r="E123" s="2" t="s">
        <v>13</v>
      </c>
      <c r="F123" s="2" t="s">
        <v>15</v>
      </c>
      <c r="G123" s="2" t="s">
        <v>32</v>
      </c>
      <c r="H123" s="5">
        <v>3</v>
      </c>
      <c r="I123" s="3">
        <v>93.03</v>
      </c>
      <c r="J123" s="3">
        <f t="shared" si="21"/>
        <v>279.09000000000003</v>
      </c>
      <c r="K123" s="3">
        <v>199.04</v>
      </c>
      <c r="L123" s="3">
        <f t="shared" si="22"/>
        <v>80.05000000000004</v>
      </c>
      <c r="M123" s="4" t="str">
        <f t="shared" si="23"/>
        <v>Dec</v>
      </c>
      <c r="N123" s="2" t="str">
        <f t="shared" si="24"/>
        <v>2024</v>
      </c>
      <c r="O123" s="2" t="str">
        <f t="shared" si="25"/>
        <v>Dec-2024</v>
      </c>
      <c r="P123" s="6">
        <f t="shared" si="26"/>
        <v>0.28682503851804086</v>
      </c>
      <c r="Q123" s="3">
        <f t="shared" si="27"/>
        <v>93.030000000000015</v>
      </c>
      <c r="R123" s="2" t="str">
        <f>IF(Table1[[#This Row],[Profit]]&gt;500,"Yes","No")</f>
        <v>No</v>
      </c>
    </row>
    <row r="124" spans="1:18" x14ac:dyDescent="0.35">
      <c r="A124" s="9" t="s">
        <v>306</v>
      </c>
      <c r="B124" s="4">
        <v>45628</v>
      </c>
      <c r="C124" s="2" t="s">
        <v>106</v>
      </c>
      <c r="D124" s="2">
        <v>7502</v>
      </c>
      <c r="E124" s="2" t="s">
        <v>13</v>
      </c>
      <c r="F124" s="2" t="s">
        <v>20</v>
      </c>
      <c r="G124" s="2" t="s">
        <v>31</v>
      </c>
      <c r="H124" s="5">
        <v>3</v>
      </c>
      <c r="I124" s="3">
        <v>64.97</v>
      </c>
      <c r="J124" s="3">
        <f t="shared" si="21"/>
        <v>194.91</v>
      </c>
      <c r="K124" s="3">
        <v>150.51</v>
      </c>
      <c r="L124" s="3">
        <f t="shared" si="22"/>
        <v>44.400000000000006</v>
      </c>
      <c r="M124" s="4" t="str">
        <f t="shared" si="23"/>
        <v>Dec</v>
      </c>
      <c r="N124" s="2" t="str">
        <f t="shared" si="24"/>
        <v>2024</v>
      </c>
      <c r="O124" s="2" t="str">
        <f t="shared" si="25"/>
        <v>Dec-2024</v>
      </c>
      <c r="P124" s="6">
        <f t="shared" si="26"/>
        <v>0.22779744497460369</v>
      </c>
      <c r="Q124" s="3">
        <f t="shared" si="27"/>
        <v>64.97</v>
      </c>
      <c r="R124" s="2" t="str">
        <f>IF(Table1[[#This Row],[Profit]]&gt;500,"Yes","No")</f>
        <v>No</v>
      </c>
    </row>
    <row r="125" spans="1:18" x14ac:dyDescent="0.35">
      <c r="A125" s="9" t="s">
        <v>253</v>
      </c>
      <c r="B125" s="4">
        <v>45623</v>
      </c>
      <c r="C125" s="2" t="s">
        <v>53</v>
      </c>
      <c r="D125" s="2">
        <v>1055</v>
      </c>
      <c r="E125" s="2" t="s">
        <v>17</v>
      </c>
      <c r="F125" s="2" t="s">
        <v>20</v>
      </c>
      <c r="G125" s="2" t="s">
        <v>27</v>
      </c>
      <c r="H125" s="5">
        <v>2</v>
      </c>
      <c r="I125" s="3">
        <v>239.29</v>
      </c>
      <c r="J125" s="3">
        <f t="shared" si="21"/>
        <v>478.58</v>
      </c>
      <c r="K125" s="3">
        <v>318.10000000000002</v>
      </c>
      <c r="L125" s="3">
        <f t="shared" si="22"/>
        <v>160.47999999999996</v>
      </c>
      <c r="M125" s="4" t="str">
        <f t="shared" si="23"/>
        <v>Nov</v>
      </c>
      <c r="N125" s="2" t="str">
        <f t="shared" si="24"/>
        <v>2024</v>
      </c>
      <c r="O125" s="2" t="str">
        <f t="shared" si="25"/>
        <v>Nov-2024</v>
      </c>
      <c r="P125" s="6">
        <f t="shared" si="26"/>
        <v>0.3353253374566425</v>
      </c>
      <c r="Q125" s="3">
        <f t="shared" si="27"/>
        <v>239.29</v>
      </c>
      <c r="R125" s="2" t="str">
        <f>IF(Table1[[#This Row],[Profit]]&gt;500,"Yes","No")</f>
        <v>No</v>
      </c>
    </row>
    <row r="126" spans="1:18" x14ac:dyDescent="0.35">
      <c r="A126" s="9" t="s">
        <v>433</v>
      </c>
      <c r="B126" s="4">
        <v>45622</v>
      </c>
      <c r="C126" s="2" t="s">
        <v>233</v>
      </c>
      <c r="D126" s="2">
        <v>6012</v>
      </c>
      <c r="E126" s="2" t="s">
        <v>13</v>
      </c>
      <c r="F126" s="2" t="s">
        <v>11</v>
      </c>
      <c r="G126" s="2" t="s">
        <v>14</v>
      </c>
      <c r="H126" s="5">
        <v>8</v>
      </c>
      <c r="I126" s="3">
        <v>198.22</v>
      </c>
      <c r="J126" s="3">
        <f t="shared" si="21"/>
        <v>1585.76</v>
      </c>
      <c r="K126" s="3">
        <v>1264.1600000000001</v>
      </c>
      <c r="L126" s="3">
        <f t="shared" si="22"/>
        <v>321.59999999999991</v>
      </c>
      <c r="M126" s="4" t="str">
        <f t="shared" si="23"/>
        <v>Nov</v>
      </c>
      <c r="N126" s="2" t="str">
        <f t="shared" si="24"/>
        <v>2024</v>
      </c>
      <c r="O126" s="2" t="str">
        <f t="shared" si="25"/>
        <v>Nov-2024</v>
      </c>
      <c r="P126" s="6">
        <f t="shared" si="26"/>
        <v>0.20280496418121274</v>
      </c>
      <c r="Q126" s="3">
        <f t="shared" si="27"/>
        <v>198.22</v>
      </c>
      <c r="R126" s="2" t="str">
        <f>IF(Table1[[#This Row],[Profit]]&gt;500,"Yes","No")</f>
        <v>No</v>
      </c>
    </row>
    <row r="127" spans="1:18" x14ac:dyDescent="0.35">
      <c r="A127" s="9" t="s">
        <v>314</v>
      </c>
      <c r="B127" s="4">
        <v>45620</v>
      </c>
      <c r="C127" s="2" t="s">
        <v>114</v>
      </c>
      <c r="D127" s="2">
        <v>1400</v>
      </c>
      <c r="E127" s="2" t="s">
        <v>17</v>
      </c>
      <c r="F127" s="2" t="s">
        <v>25</v>
      </c>
      <c r="G127" s="2" t="s">
        <v>26</v>
      </c>
      <c r="H127" s="5">
        <v>1</v>
      </c>
      <c r="I127" s="3">
        <v>465.48</v>
      </c>
      <c r="J127" s="3">
        <f t="shared" si="21"/>
        <v>465.48</v>
      </c>
      <c r="K127" s="3">
        <v>287.52</v>
      </c>
      <c r="L127" s="3">
        <f t="shared" si="22"/>
        <v>177.96000000000004</v>
      </c>
      <c r="M127" s="4" t="str">
        <f t="shared" si="23"/>
        <v>Nov</v>
      </c>
      <c r="N127" s="2" t="str">
        <f t="shared" si="24"/>
        <v>2024</v>
      </c>
      <c r="O127" s="2" t="str">
        <f t="shared" si="25"/>
        <v>Nov-2024</v>
      </c>
      <c r="P127" s="6">
        <f t="shared" si="26"/>
        <v>0.38231502964681624</v>
      </c>
      <c r="Q127" s="3">
        <f t="shared" si="27"/>
        <v>465.48</v>
      </c>
      <c r="R127" s="2" t="str">
        <f>IF(Table1[[#This Row],[Profit]]&gt;500,"Yes","No")</f>
        <v>No</v>
      </c>
    </row>
    <row r="128" spans="1:18" x14ac:dyDescent="0.35">
      <c r="A128" s="9" t="s">
        <v>345</v>
      </c>
      <c r="B128" s="4">
        <v>45618</v>
      </c>
      <c r="C128" s="2" t="s">
        <v>145</v>
      </c>
      <c r="D128" s="2">
        <v>9026</v>
      </c>
      <c r="E128" s="2" t="s">
        <v>10</v>
      </c>
      <c r="F128" s="2" t="s">
        <v>15</v>
      </c>
      <c r="G128" s="2" t="s">
        <v>36</v>
      </c>
      <c r="H128" s="5">
        <v>3</v>
      </c>
      <c r="I128" s="3">
        <v>362.2</v>
      </c>
      <c r="J128" s="3">
        <f t="shared" si="21"/>
        <v>1086.5999999999999</v>
      </c>
      <c r="K128" s="3">
        <v>715.36</v>
      </c>
      <c r="L128" s="3">
        <f t="shared" si="22"/>
        <v>371.2399999999999</v>
      </c>
      <c r="M128" s="4" t="str">
        <f t="shared" si="23"/>
        <v>Nov</v>
      </c>
      <c r="N128" s="2" t="str">
        <f t="shared" si="24"/>
        <v>2024</v>
      </c>
      <c r="O128" s="2" t="str">
        <f t="shared" si="25"/>
        <v>Nov-2024</v>
      </c>
      <c r="P128" s="6">
        <f t="shared" si="26"/>
        <v>0.34165286213878143</v>
      </c>
      <c r="Q128" s="3">
        <f t="shared" si="27"/>
        <v>362.2</v>
      </c>
      <c r="R128" s="2" t="str">
        <f>IF(Table1[[#This Row],[Profit]]&gt;500,"Yes","No")</f>
        <v>No</v>
      </c>
    </row>
    <row r="129" spans="1:18" x14ac:dyDescent="0.35">
      <c r="A129" s="9" t="s">
        <v>311</v>
      </c>
      <c r="B129" s="4">
        <v>45617</v>
      </c>
      <c r="C129" s="2" t="s">
        <v>111</v>
      </c>
      <c r="D129" s="2">
        <v>1687</v>
      </c>
      <c r="E129" s="2" t="s">
        <v>24</v>
      </c>
      <c r="F129" s="2" t="s">
        <v>20</v>
      </c>
      <c r="G129" s="2" t="s">
        <v>21</v>
      </c>
      <c r="H129" s="5">
        <v>3</v>
      </c>
      <c r="I129" s="3">
        <v>457.58</v>
      </c>
      <c r="J129" s="3">
        <f t="shared" si="21"/>
        <v>1372.74</v>
      </c>
      <c r="K129" s="3">
        <v>1210.06</v>
      </c>
      <c r="L129" s="3">
        <f t="shared" si="22"/>
        <v>162.68000000000006</v>
      </c>
      <c r="M129" s="4" t="str">
        <f t="shared" si="23"/>
        <v>Nov</v>
      </c>
      <c r="N129" s="2" t="str">
        <f t="shared" si="24"/>
        <v>2024</v>
      </c>
      <c r="O129" s="2" t="str">
        <f t="shared" si="25"/>
        <v>Nov-2024</v>
      </c>
      <c r="P129" s="6">
        <f t="shared" si="26"/>
        <v>0.11850751052639251</v>
      </c>
      <c r="Q129" s="3">
        <f t="shared" si="27"/>
        <v>457.58</v>
      </c>
      <c r="R129" s="2" t="str">
        <f>IF(Table1[[#This Row],[Profit]]&gt;500,"Yes","No")</f>
        <v>No</v>
      </c>
    </row>
    <row r="130" spans="1:18" x14ac:dyDescent="0.35">
      <c r="A130" s="9" t="s">
        <v>400</v>
      </c>
      <c r="B130" s="4">
        <v>45615</v>
      </c>
      <c r="C130" s="2" t="s">
        <v>200</v>
      </c>
      <c r="D130" s="2">
        <v>1893</v>
      </c>
      <c r="E130" s="2" t="s">
        <v>17</v>
      </c>
      <c r="F130" s="2" t="s">
        <v>15</v>
      </c>
      <c r="G130" s="2" t="s">
        <v>36</v>
      </c>
      <c r="H130" s="5">
        <v>1</v>
      </c>
      <c r="I130" s="3">
        <v>193.71</v>
      </c>
      <c r="J130" s="3">
        <f t="shared" ref="J130:J161" si="28">H130*I130</f>
        <v>193.71</v>
      </c>
      <c r="K130" s="3">
        <v>168.16</v>
      </c>
      <c r="L130" s="3">
        <f t="shared" ref="L130:L161" si="29">J130-K130</f>
        <v>25.550000000000011</v>
      </c>
      <c r="M130" s="4" t="str">
        <f t="shared" ref="M130:M161" si="30">TEXT(B130,"MMM")</f>
        <v>Nov</v>
      </c>
      <c r="N130" s="2" t="str">
        <f t="shared" ref="N130:N161" si="31">TEXT(B130,"YYYY")</f>
        <v>2024</v>
      </c>
      <c r="O130" s="2" t="str">
        <f t="shared" ref="O130:O161" si="32">TEXT(B130,"mmm-yyyy")</f>
        <v>Nov-2024</v>
      </c>
      <c r="P130" s="6">
        <f t="shared" ref="P130:P161" si="33">IF(H130=0,0,(L130/J130))</f>
        <v>0.1318981983377214</v>
      </c>
      <c r="Q130" s="3">
        <f t="shared" ref="Q130:Q161" si="34">J130/H130</f>
        <v>193.71</v>
      </c>
      <c r="R130" s="2" t="str">
        <f>IF(Table1[[#This Row],[Profit]]&gt;500,"Yes","No")</f>
        <v>No</v>
      </c>
    </row>
    <row r="131" spans="1:18" x14ac:dyDescent="0.35">
      <c r="A131" s="9" t="s">
        <v>362</v>
      </c>
      <c r="B131" s="4">
        <v>45614</v>
      </c>
      <c r="C131" s="2" t="s">
        <v>162</v>
      </c>
      <c r="D131" s="2">
        <v>2441</v>
      </c>
      <c r="E131" s="2" t="s">
        <v>10</v>
      </c>
      <c r="F131" s="2" t="s">
        <v>11</v>
      </c>
      <c r="G131" s="2" t="s">
        <v>14</v>
      </c>
      <c r="H131" s="5">
        <v>8</v>
      </c>
      <c r="I131" s="3">
        <v>26.61</v>
      </c>
      <c r="J131" s="3">
        <f t="shared" si="28"/>
        <v>212.88</v>
      </c>
      <c r="K131" s="3">
        <v>183.09</v>
      </c>
      <c r="L131" s="3">
        <f t="shared" si="29"/>
        <v>29.789999999999992</v>
      </c>
      <c r="M131" s="4" t="str">
        <f t="shared" si="30"/>
        <v>Nov</v>
      </c>
      <c r="N131" s="2" t="str">
        <f t="shared" si="31"/>
        <v>2024</v>
      </c>
      <c r="O131" s="2" t="str">
        <f t="shared" si="32"/>
        <v>Nov-2024</v>
      </c>
      <c r="P131" s="6">
        <f t="shared" si="33"/>
        <v>0.13993799323562567</v>
      </c>
      <c r="Q131" s="3">
        <f t="shared" si="34"/>
        <v>26.61</v>
      </c>
      <c r="R131" s="2" t="str">
        <f>IF(Table1[[#This Row],[Profit]]&gt;500,"Yes","No")</f>
        <v>No</v>
      </c>
    </row>
    <row r="132" spans="1:18" x14ac:dyDescent="0.35">
      <c r="A132" s="9" t="s">
        <v>272</v>
      </c>
      <c r="B132" s="4">
        <v>45613</v>
      </c>
      <c r="C132" s="2" t="s">
        <v>72</v>
      </c>
      <c r="D132" s="2">
        <v>6905</v>
      </c>
      <c r="E132" s="2" t="s">
        <v>10</v>
      </c>
      <c r="F132" s="2" t="s">
        <v>22</v>
      </c>
      <c r="G132" s="2" t="s">
        <v>34</v>
      </c>
      <c r="H132" s="5">
        <v>6</v>
      </c>
      <c r="I132" s="3">
        <v>239.65</v>
      </c>
      <c r="J132" s="3">
        <f t="shared" si="28"/>
        <v>1437.9</v>
      </c>
      <c r="K132" s="3">
        <v>1016.18</v>
      </c>
      <c r="L132" s="3">
        <f t="shared" si="29"/>
        <v>421.72000000000014</v>
      </c>
      <c r="M132" s="4" t="str">
        <f t="shared" si="30"/>
        <v>Nov</v>
      </c>
      <c r="N132" s="2" t="str">
        <f t="shared" si="31"/>
        <v>2024</v>
      </c>
      <c r="O132" s="2" t="str">
        <f t="shared" si="32"/>
        <v>Nov-2024</v>
      </c>
      <c r="P132" s="6">
        <f t="shared" si="33"/>
        <v>0.29328882397941453</v>
      </c>
      <c r="Q132" s="3">
        <f t="shared" si="34"/>
        <v>239.65</v>
      </c>
      <c r="R132" s="2" t="str">
        <f>IF(Table1[[#This Row],[Profit]]&gt;500,"Yes","No")</f>
        <v>No</v>
      </c>
    </row>
    <row r="133" spans="1:18" x14ac:dyDescent="0.35">
      <c r="A133" s="9" t="s">
        <v>334</v>
      </c>
      <c r="B133" s="4">
        <v>45611</v>
      </c>
      <c r="C133" s="2" t="s">
        <v>134</v>
      </c>
      <c r="D133" s="2">
        <v>6463</v>
      </c>
      <c r="E133" s="2" t="s">
        <v>24</v>
      </c>
      <c r="F133" s="2" t="s">
        <v>20</v>
      </c>
      <c r="G133" s="2" t="s">
        <v>27</v>
      </c>
      <c r="H133" s="5">
        <v>7</v>
      </c>
      <c r="I133" s="3">
        <v>222.13</v>
      </c>
      <c r="J133" s="3">
        <f t="shared" si="28"/>
        <v>1554.9099999999999</v>
      </c>
      <c r="K133" s="3">
        <v>1120.22</v>
      </c>
      <c r="L133" s="3">
        <f t="shared" si="29"/>
        <v>434.68999999999983</v>
      </c>
      <c r="M133" s="4" t="str">
        <f t="shared" si="30"/>
        <v>Nov</v>
      </c>
      <c r="N133" s="2" t="str">
        <f t="shared" si="31"/>
        <v>2024</v>
      </c>
      <c r="O133" s="2" t="str">
        <f t="shared" si="32"/>
        <v>Nov-2024</v>
      </c>
      <c r="P133" s="6">
        <f t="shared" si="33"/>
        <v>0.27955958865786434</v>
      </c>
      <c r="Q133" s="3">
        <f t="shared" si="34"/>
        <v>222.12999999999997</v>
      </c>
      <c r="R133" s="2" t="str">
        <f>IF(Table1[[#This Row],[Profit]]&gt;500,"Yes","No")</f>
        <v>No</v>
      </c>
    </row>
    <row r="134" spans="1:18" x14ac:dyDescent="0.35">
      <c r="A134" s="9" t="s">
        <v>374</v>
      </c>
      <c r="B134" s="4">
        <v>45611</v>
      </c>
      <c r="C134" s="2" t="s">
        <v>174</v>
      </c>
      <c r="D134" s="2">
        <v>6475</v>
      </c>
      <c r="E134" s="2" t="s">
        <v>10</v>
      </c>
      <c r="F134" s="2" t="s">
        <v>15</v>
      </c>
      <c r="G134" s="2" t="s">
        <v>32</v>
      </c>
      <c r="H134" s="5">
        <v>5</v>
      </c>
      <c r="I134" s="3">
        <v>445.4</v>
      </c>
      <c r="J134" s="3">
        <f t="shared" si="28"/>
        <v>2227</v>
      </c>
      <c r="K134" s="3">
        <v>1582.2</v>
      </c>
      <c r="L134" s="3">
        <f t="shared" si="29"/>
        <v>644.79999999999995</v>
      </c>
      <c r="M134" s="4" t="str">
        <f t="shared" si="30"/>
        <v>Nov</v>
      </c>
      <c r="N134" s="2" t="str">
        <f t="shared" si="31"/>
        <v>2024</v>
      </c>
      <c r="O134" s="2" t="str">
        <f t="shared" si="32"/>
        <v>Nov-2024</v>
      </c>
      <c r="P134" s="6">
        <f t="shared" si="33"/>
        <v>0.28953749438706777</v>
      </c>
      <c r="Q134" s="3">
        <f t="shared" si="34"/>
        <v>445.4</v>
      </c>
      <c r="R134" s="2" t="str">
        <f>IF(Table1[[#This Row],[Profit]]&gt;500,"Yes","No")</f>
        <v>Yes</v>
      </c>
    </row>
    <row r="135" spans="1:18" x14ac:dyDescent="0.35">
      <c r="A135" s="9" t="s">
        <v>244</v>
      </c>
      <c r="B135" s="4">
        <v>45609</v>
      </c>
      <c r="C135" s="2" t="s">
        <v>44</v>
      </c>
      <c r="D135" s="2">
        <v>2864</v>
      </c>
      <c r="E135" s="2" t="s">
        <v>13</v>
      </c>
      <c r="F135" s="2" t="s">
        <v>11</v>
      </c>
      <c r="G135" s="2" t="s">
        <v>14</v>
      </c>
      <c r="H135" s="5">
        <v>9</v>
      </c>
      <c r="I135" s="3">
        <v>69.92</v>
      </c>
      <c r="J135" s="3">
        <f t="shared" si="28"/>
        <v>629.28</v>
      </c>
      <c r="K135" s="3">
        <v>423.87</v>
      </c>
      <c r="L135" s="3">
        <f t="shared" si="29"/>
        <v>205.40999999999997</v>
      </c>
      <c r="M135" s="4" t="str">
        <f t="shared" si="30"/>
        <v>Nov</v>
      </c>
      <c r="N135" s="2" t="str">
        <f t="shared" si="31"/>
        <v>2024</v>
      </c>
      <c r="O135" s="2" t="str">
        <f t="shared" si="32"/>
        <v>Nov-2024</v>
      </c>
      <c r="P135" s="6">
        <f t="shared" si="33"/>
        <v>0.32642067124332569</v>
      </c>
      <c r="Q135" s="3">
        <f t="shared" si="34"/>
        <v>69.92</v>
      </c>
      <c r="R135" s="2" t="str">
        <f>IF(Table1[[#This Row],[Profit]]&gt;500,"Yes","No")</f>
        <v>No</v>
      </c>
    </row>
    <row r="136" spans="1:18" x14ac:dyDescent="0.35">
      <c r="A136" s="9" t="s">
        <v>268</v>
      </c>
      <c r="B136" s="4">
        <v>45605</v>
      </c>
      <c r="C136" s="2" t="s">
        <v>68</v>
      </c>
      <c r="D136" s="2">
        <v>5770</v>
      </c>
      <c r="E136" s="2" t="s">
        <v>24</v>
      </c>
      <c r="F136" s="2" t="s">
        <v>11</v>
      </c>
      <c r="G136" s="2" t="s">
        <v>18</v>
      </c>
      <c r="H136" s="5">
        <v>10</v>
      </c>
      <c r="I136" s="3">
        <v>349.93</v>
      </c>
      <c r="J136" s="3">
        <f t="shared" si="28"/>
        <v>3499.3</v>
      </c>
      <c r="K136" s="3">
        <v>2885.44</v>
      </c>
      <c r="L136" s="3">
        <f t="shared" si="29"/>
        <v>613.86000000000013</v>
      </c>
      <c r="M136" s="4" t="str">
        <f t="shared" si="30"/>
        <v>Nov</v>
      </c>
      <c r="N136" s="2" t="str">
        <f t="shared" si="31"/>
        <v>2024</v>
      </c>
      <c r="O136" s="2" t="str">
        <f t="shared" si="32"/>
        <v>Nov-2024</v>
      </c>
      <c r="P136" s="6">
        <f t="shared" si="33"/>
        <v>0.1754236561598034</v>
      </c>
      <c r="Q136" s="3">
        <f t="shared" si="34"/>
        <v>349.93</v>
      </c>
      <c r="R136" s="2" t="str">
        <f>IF(Table1[[#This Row],[Profit]]&gt;500,"Yes","No")</f>
        <v>Yes</v>
      </c>
    </row>
    <row r="137" spans="1:18" x14ac:dyDescent="0.35">
      <c r="A137" s="9" t="s">
        <v>313</v>
      </c>
      <c r="B137" s="4">
        <v>45600</v>
      </c>
      <c r="C137" s="2" t="s">
        <v>113</v>
      </c>
      <c r="D137" s="2">
        <v>6690</v>
      </c>
      <c r="E137" s="2" t="s">
        <v>24</v>
      </c>
      <c r="F137" s="2" t="s">
        <v>15</v>
      </c>
      <c r="G137" s="2" t="s">
        <v>19</v>
      </c>
      <c r="H137" s="5">
        <v>4</v>
      </c>
      <c r="I137" s="3">
        <v>100.25</v>
      </c>
      <c r="J137" s="3">
        <f t="shared" si="28"/>
        <v>401</v>
      </c>
      <c r="K137" s="3">
        <v>323.45</v>
      </c>
      <c r="L137" s="3">
        <f t="shared" si="29"/>
        <v>77.550000000000011</v>
      </c>
      <c r="M137" s="4" t="str">
        <f t="shared" si="30"/>
        <v>Nov</v>
      </c>
      <c r="N137" s="2" t="str">
        <f t="shared" si="31"/>
        <v>2024</v>
      </c>
      <c r="O137" s="2" t="str">
        <f t="shared" si="32"/>
        <v>Nov-2024</v>
      </c>
      <c r="P137" s="6">
        <f t="shared" si="33"/>
        <v>0.1933915211970075</v>
      </c>
      <c r="Q137" s="3">
        <f t="shared" si="34"/>
        <v>100.25</v>
      </c>
      <c r="R137" s="2" t="str">
        <f>IF(Table1[[#This Row],[Profit]]&gt;500,"Yes","No")</f>
        <v>No</v>
      </c>
    </row>
    <row r="138" spans="1:18" x14ac:dyDescent="0.35">
      <c r="A138" s="9" t="s">
        <v>386</v>
      </c>
      <c r="B138" s="4">
        <v>45600</v>
      </c>
      <c r="C138" s="2" t="s">
        <v>186</v>
      </c>
      <c r="D138" s="2">
        <v>4436</v>
      </c>
      <c r="E138" s="2" t="s">
        <v>24</v>
      </c>
      <c r="F138" s="2" t="s">
        <v>11</v>
      </c>
      <c r="G138" s="2" t="s">
        <v>38</v>
      </c>
      <c r="H138" s="5">
        <v>6</v>
      </c>
      <c r="I138" s="3">
        <v>374.5</v>
      </c>
      <c r="J138" s="3">
        <f t="shared" si="28"/>
        <v>2247</v>
      </c>
      <c r="K138" s="3">
        <v>1980.99</v>
      </c>
      <c r="L138" s="3">
        <f t="shared" si="29"/>
        <v>266.01</v>
      </c>
      <c r="M138" s="4" t="str">
        <f t="shared" si="30"/>
        <v>Nov</v>
      </c>
      <c r="N138" s="2" t="str">
        <f t="shared" si="31"/>
        <v>2024</v>
      </c>
      <c r="O138" s="2" t="str">
        <f t="shared" si="32"/>
        <v>Nov-2024</v>
      </c>
      <c r="P138" s="6">
        <f t="shared" si="33"/>
        <v>0.11838451268357809</v>
      </c>
      <c r="Q138" s="3">
        <f t="shared" si="34"/>
        <v>374.5</v>
      </c>
      <c r="R138" s="2" t="str">
        <f>IF(Table1[[#This Row],[Profit]]&gt;500,"Yes","No")</f>
        <v>No</v>
      </c>
    </row>
    <row r="139" spans="1:18" x14ac:dyDescent="0.35">
      <c r="A139" s="9" t="s">
        <v>312</v>
      </c>
      <c r="B139" s="4">
        <v>45599</v>
      </c>
      <c r="C139" s="2" t="s">
        <v>112</v>
      </c>
      <c r="D139" s="2">
        <v>1741</v>
      </c>
      <c r="E139" s="2" t="s">
        <v>17</v>
      </c>
      <c r="F139" s="2" t="s">
        <v>25</v>
      </c>
      <c r="G139" s="2" t="s">
        <v>30</v>
      </c>
      <c r="H139" s="5">
        <v>4</v>
      </c>
      <c r="I139" s="3">
        <v>180.03</v>
      </c>
      <c r="J139" s="3">
        <f t="shared" si="28"/>
        <v>720.12</v>
      </c>
      <c r="K139" s="3">
        <v>579.45000000000005</v>
      </c>
      <c r="L139" s="3">
        <f t="shared" si="29"/>
        <v>140.66999999999996</v>
      </c>
      <c r="M139" s="4" t="str">
        <f t="shared" si="30"/>
        <v>Nov</v>
      </c>
      <c r="N139" s="2" t="str">
        <f t="shared" si="31"/>
        <v>2024</v>
      </c>
      <c r="O139" s="2" t="str">
        <f t="shared" si="32"/>
        <v>Nov-2024</v>
      </c>
      <c r="P139" s="6">
        <f t="shared" si="33"/>
        <v>0.19534244292617892</v>
      </c>
      <c r="Q139" s="3">
        <f t="shared" si="34"/>
        <v>180.03</v>
      </c>
      <c r="R139" s="2" t="str">
        <f>IF(Table1[[#This Row],[Profit]]&gt;500,"Yes","No")</f>
        <v>No</v>
      </c>
    </row>
    <row r="140" spans="1:18" x14ac:dyDescent="0.35">
      <c r="A140" s="9" t="s">
        <v>342</v>
      </c>
      <c r="B140" s="4">
        <v>45599</v>
      </c>
      <c r="C140" s="2" t="s">
        <v>142</v>
      </c>
      <c r="D140" s="2">
        <v>1247</v>
      </c>
      <c r="E140" s="2" t="s">
        <v>10</v>
      </c>
      <c r="F140" s="2" t="s">
        <v>20</v>
      </c>
      <c r="G140" s="2" t="s">
        <v>35</v>
      </c>
      <c r="H140" s="5">
        <v>5</v>
      </c>
      <c r="I140" s="3">
        <v>490.2</v>
      </c>
      <c r="J140" s="3">
        <f t="shared" si="28"/>
        <v>2451</v>
      </c>
      <c r="K140" s="3">
        <v>1945.67</v>
      </c>
      <c r="L140" s="3">
        <f t="shared" si="29"/>
        <v>505.32999999999993</v>
      </c>
      <c r="M140" s="4" t="str">
        <f t="shared" si="30"/>
        <v>Nov</v>
      </c>
      <c r="N140" s="2" t="str">
        <f t="shared" si="31"/>
        <v>2024</v>
      </c>
      <c r="O140" s="2" t="str">
        <f t="shared" si="32"/>
        <v>Nov-2024</v>
      </c>
      <c r="P140" s="6">
        <f t="shared" si="33"/>
        <v>0.20617299061607505</v>
      </c>
      <c r="Q140" s="3">
        <f t="shared" si="34"/>
        <v>490.2</v>
      </c>
      <c r="R140" s="2" t="str">
        <f>IF(Table1[[#This Row],[Profit]]&gt;500,"Yes","No")</f>
        <v>Yes</v>
      </c>
    </row>
    <row r="141" spans="1:18" x14ac:dyDescent="0.35">
      <c r="A141" s="9" t="s">
        <v>375</v>
      </c>
      <c r="B141" s="4">
        <v>45599</v>
      </c>
      <c r="C141" s="2" t="s">
        <v>175</v>
      </c>
      <c r="D141" s="2">
        <v>1000</v>
      </c>
      <c r="E141" s="2" t="s">
        <v>13</v>
      </c>
      <c r="F141" s="2" t="s">
        <v>11</v>
      </c>
      <c r="G141" s="2" t="s">
        <v>38</v>
      </c>
      <c r="H141" s="5">
        <v>9</v>
      </c>
      <c r="I141" s="3">
        <v>124.19</v>
      </c>
      <c r="J141" s="3">
        <f t="shared" si="28"/>
        <v>1117.71</v>
      </c>
      <c r="K141" s="3">
        <v>799.76</v>
      </c>
      <c r="L141" s="3">
        <f t="shared" si="29"/>
        <v>317.95000000000005</v>
      </c>
      <c r="M141" s="4" t="str">
        <f t="shared" si="30"/>
        <v>Nov</v>
      </c>
      <c r="N141" s="2" t="str">
        <f t="shared" si="31"/>
        <v>2024</v>
      </c>
      <c r="O141" s="2" t="str">
        <f t="shared" si="32"/>
        <v>Nov-2024</v>
      </c>
      <c r="P141" s="6">
        <f t="shared" si="33"/>
        <v>0.28446555904483278</v>
      </c>
      <c r="Q141" s="3">
        <f t="shared" si="34"/>
        <v>124.19</v>
      </c>
      <c r="R141" s="2" t="str">
        <f>IF(Table1[[#This Row],[Profit]]&gt;500,"Yes","No")</f>
        <v>No</v>
      </c>
    </row>
    <row r="142" spans="1:18" x14ac:dyDescent="0.35">
      <c r="A142" s="9" t="s">
        <v>284</v>
      </c>
      <c r="B142" s="4">
        <v>45598</v>
      </c>
      <c r="C142" s="2" t="s">
        <v>84</v>
      </c>
      <c r="D142" s="2">
        <v>9656</v>
      </c>
      <c r="E142" s="2" t="s">
        <v>24</v>
      </c>
      <c r="F142" s="2" t="s">
        <v>20</v>
      </c>
      <c r="G142" s="2" t="s">
        <v>21</v>
      </c>
      <c r="H142" s="5">
        <v>9</v>
      </c>
      <c r="I142" s="3">
        <v>205.23</v>
      </c>
      <c r="J142" s="3">
        <f t="shared" si="28"/>
        <v>1847.07</v>
      </c>
      <c r="K142" s="3">
        <v>1351.95</v>
      </c>
      <c r="L142" s="3">
        <f t="shared" si="29"/>
        <v>495.11999999999989</v>
      </c>
      <c r="M142" s="4" t="str">
        <f t="shared" si="30"/>
        <v>Nov</v>
      </c>
      <c r="N142" s="2" t="str">
        <f t="shared" si="31"/>
        <v>2024</v>
      </c>
      <c r="O142" s="2" t="str">
        <f t="shared" si="32"/>
        <v>Nov-2024</v>
      </c>
      <c r="P142" s="6">
        <f t="shared" si="33"/>
        <v>0.26805697672530004</v>
      </c>
      <c r="Q142" s="3">
        <f t="shared" si="34"/>
        <v>205.23</v>
      </c>
      <c r="R142" s="2" t="str">
        <f>IF(Table1[[#This Row],[Profit]]&gt;500,"Yes","No")</f>
        <v>No</v>
      </c>
    </row>
    <row r="143" spans="1:18" x14ac:dyDescent="0.35">
      <c r="A143" s="9" t="s">
        <v>406</v>
      </c>
      <c r="B143" s="4">
        <v>45596</v>
      </c>
      <c r="C143" s="2" t="s">
        <v>206</v>
      </c>
      <c r="D143" s="2">
        <v>7207</v>
      </c>
      <c r="E143" s="2" t="s">
        <v>24</v>
      </c>
      <c r="F143" s="2" t="s">
        <v>25</v>
      </c>
      <c r="G143" s="2" t="s">
        <v>30</v>
      </c>
      <c r="H143" s="5">
        <v>5</v>
      </c>
      <c r="I143" s="3">
        <v>161.53</v>
      </c>
      <c r="J143" s="3">
        <f t="shared" si="28"/>
        <v>807.65</v>
      </c>
      <c r="K143" s="3">
        <v>629.91</v>
      </c>
      <c r="L143" s="3">
        <f t="shared" si="29"/>
        <v>177.74</v>
      </c>
      <c r="M143" s="4" t="str">
        <f t="shared" si="30"/>
        <v>Oct</v>
      </c>
      <c r="N143" s="2" t="str">
        <f t="shared" si="31"/>
        <v>2024</v>
      </c>
      <c r="O143" s="2" t="str">
        <f t="shared" si="32"/>
        <v>Oct-2024</v>
      </c>
      <c r="P143" s="6">
        <f t="shared" si="33"/>
        <v>0.22007057512536374</v>
      </c>
      <c r="Q143" s="3">
        <f t="shared" si="34"/>
        <v>161.53</v>
      </c>
      <c r="R143" s="2" t="str">
        <f>IF(Table1[[#This Row],[Profit]]&gt;500,"Yes","No")</f>
        <v>No</v>
      </c>
    </row>
    <row r="144" spans="1:18" x14ac:dyDescent="0.35">
      <c r="A144" s="9" t="s">
        <v>262</v>
      </c>
      <c r="B144" s="4">
        <v>45595</v>
      </c>
      <c r="C144" s="2" t="s">
        <v>62</v>
      </c>
      <c r="D144" s="2">
        <v>7172</v>
      </c>
      <c r="E144" s="2" t="s">
        <v>17</v>
      </c>
      <c r="F144" s="2" t="s">
        <v>20</v>
      </c>
      <c r="G144" s="2" t="s">
        <v>31</v>
      </c>
      <c r="H144" s="5">
        <v>10</v>
      </c>
      <c r="I144" s="3">
        <v>147.06</v>
      </c>
      <c r="J144" s="3">
        <f t="shared" si="28"/>
        <v>1470.6</v>
      </c>
      <c r="K144" s="3">
        <v>1041</v>
      </c>
      <c r="L144" s="3">
        <f t="shared" si="29"/>
        <v>429.59999999999991</v>
      </c>
      <c r="M144" s="4" t="str">
        <f t="shared" si="30"/>
        <v>Oct</v>
      </c>
      <c r="N144" s="2" t="str">
        <f t="shared" si="31"/>
        <v>2024</v>
      </c>
      <c r="O144" s="2" t="str">
        <f t="shared" si="32"/>
        <v>Oct-2024</v>
      </c>
      <c r="P144" s="6">
        <f t="shared" si="33"/>
        <v>0.292125662994696</v>
      </c>
      <c r="Q144" s="3">
        <f t="shared" si="34"/>
        <v>147.06</v>
      </c>
      <c r="R144" s="2" t="str">
        <f>IF(Table1[[#This Row],[Profit]]&gt;500,"Yes","No")</f>
        <v>No</v>
      </c>
    </row>
    <row r="145" spans="1:18" x14ac:dyDescent="0.35">
      <c r="A145" s="9" t="s">
        <v>357</v>
      </c>
      <c r="B145" s="4">
        <v>45592</v>
      </c>
      <c r="C145" s="2" t="s">
        <v>157</v>
      </c>
      <c r="D145" s="2">
        <v>8658</v>
      </c>
      <c r="E145" s="2" t="s">
        <v>17</v>
      </c>
      <c r="F145" s="2" t="s">
        <v>22</v>
      </c>
      <c r="G145" s="2" t="s">
        <v>23</v>
      </c>
      <c r="H145" s="5">
        <v>10</v>
      </c>
      <c r="I145" s="3">
        <v>150.4</v>
      </c>
      <c r="J145" s="3">
        <f t="shared" si="28"/>
        <v>1504</v>
      </c>
      <c r="K145" s="3">
        <v>1211.6500000000001</v>
      </c>
      <c r="L145" s="3">
        <f t="shared" si="29"/>
        <v>292.34999999999991</v>
      </c>
      <c r="M145" s="4" t="str">
        <f t="shared" si="30"/>
        <v>Oct</v>
      </c>
      <c r="N145" s="2" t="str">
        <f t="shared" si="31"/>
        <v>2024</v>
      </c>
      <c r="O145" s="2" t="str">
        <f t="shared" si="32"/>
        <v>Oct-2024</v>
      </c>
      <c r="P145" s="6">
        <f t="shared" si="33"/>
        <v>0.19438164893617016</v>
      </c>
      <c r="Q145" s="3">
        <f t="shared" si="34"/>
        <v>150.4</v>
      </c>
      <c r="R145" s="2" t="str">
        <f>IF(Table1[[#This Row],[Profit]]&gt;500,"Yes","No")</f>
        <v>No</v>
      </c>
    </row>
    <row r="146" spans="1:18" x14ac:dyDescent="0.35">
      <c r="A146" s="9" t="s">
        <v>397</v>
      </c>
      <c r="B146" s="4">
        <v>45592</v>
      </c>
      <c r="C146" s="2" t="s">
        <v>197</v>
      </c>
      <c r="D146" s="2">
        <v>3392</v>
      </c>
      <c r="E146" s="2" t="s">
        <v>13</v>
      </c>
      <c r="F146" s="2" t="s">
        <v>11</v>
      </c>
      <c r="G146" s="2" t="s">
        <v>12</v>
      </c>
      <c r="H146" s="5">
        <v>1</v>
      </c>
      <c r="I146" s="3">
        <v>184.84</v>
      </c>
      <c r="J146" s="3">
        <f t="shared" si="28"/>
        <v>184.84</v>
      </c>
      <c r="K146" s="3">
        <v>151.72</v>
      </c>
      <c r="L146" s="3">
        <f t="shared" si="29"/>
        <v>33.120000000000005</v>
      </c>
      <c r="M146" s="4" t="str">
        <f t="shared" si="30"/>
        <v>Oct</v>
      </c>
      <c r="N146" s="2" t="str">
        <f t="shared" si="31"/>
        <v>2024</v>
      </c>
      <c r="O146" s="2" t="str">
        <f t="shared" si="32"/>
        <v>Oct-2024</v>
      </c>
      <c r="P146" s="6">
        <f t="shared" si="33"/>
        <v>0.17918199523912576</v>
      </c>
      <c r="Q146" s="3">
        <f t="shared" si="34"/>
        <v>184.84</v>
      </c>
      <c r="R146" s="2" t="str">
        <f>IF(Table1[[#This Row],[Profit]]&gt;500,"Yes","No")</f>
        <v>No</v>
      </c>
    </row>
    <row r="147" spans="1:18" x14ac:dyDescent="0.35">
      <c r="A147" s="9" t="s">
        <v>258</v>
      </c>
      <c r="B147" s="4">
        <v>45588</v>
      </c>
      <c r="C147" s="2" t="s">
        <v>58</v>
      </c>
      <c r="D147" s="2">
        <v>6626</v>
      </c>
      <c r="E147" s="2" t="s">
        <v>13</v>
      </c>
      <c r="F147" s="2" t="s">
        <v>22</v>
      </c>
      <c r="G147" s="2" t="s">
        <v>29</v>
      </c>
      <c r="H147" s="5">
        <v>2</v>
      </c>
      <c r="I147" s="3">
        <v>125.72</v>
      </c>
      <c r="J147" s="3">
        <f t="shared" si="28"/>
        <v>251.44</v>
      </c>
      <c r="K147" s="3">
        <v>206.18</v>
      </c>
      <c r="L147" s="3">
        <f t="shared" si="29"/>
        <v>45.259999999999991</v>
      </c>
      <c r="M147" s="4" t="str">
        <f t="shared" si="30"/>
        <v>Oct</v>
      </c>
      <c r="N147" s="2" t="str">
        <f t="shared" si="31"/>
        <v>2024</v>
      </c>
      <c r="O147" s="2" t="str">
        <f t="shared" si="32"/>
        <v>Oct-2024</v>
      </c>
      <c r="P147" s="6">
        <f t="shared" si="33"/>
        <v>0.18000318167356025</v>
      </c>
      <c r="Q147" s="3">
        <f t="shared" si="34"/>
        <v>125.72</v>
      </c>
      <c r="R147" s="2" t="str">
        <f>IF(Table1[[#This Row],[Profit]]&gt;500,"Yes","No")</f>
        <v>No</v>
      </c>
    </row>
    <row r="148" spans="1:18" x14ac:dyDescent="0.35">
      <c r="A148" s="9" t="s">
        <v>351</v>
      </c>
      <c r="B148" s="4">
        <v>45582</v>
      </c>
      <c r="C148" s="2" t="s">
        <v>151</v>
      </c>
      <c r="D148" s="2">
        <v>3882</v>
      </c>
      <c r="E148" s="2" t="s">
        <v>17</v>
      </c>
      <c r="F148" s="2" t="s">
        <v>20</v>
      </c>
      <c r="G148" s="2" t="s">
        <v>27</v>
      </c>
      <c r="H148" s="5">
        <v>6</v>
      </c>
      <c r="I148" s="3">
        <v>300.14999999999998</v>
      </c>
      <c r="J148" s="3">
        <f t="shared" si="28"/>
        <v>1800.8999999999999</v>
      </c>
      <c r="K148" s="3">
        <v>1540.04</v>
      </c>
      <c r="L148" s="3">
        <f t="shared" si="29"/>
        <v>260.8599999999999</v>
      </c>
      <c r="M148" s="4" t="str">
        <f t="shared" si="30"/>
        <v>Oct</v>
      </c>
      <c r="N148" s="2" t="str">
        <f t="shared" si="31"/>
        <v>2024</v>
      </c>
      <c r="O148" s="2" t="str">
        <f t="shared" si="32"/>
        <v>Oct-2024</v>
      </c>
      <c r="P148" s="6">
        <f t="shared" si="33"/>
        <v>0.1448497973235604</v>
      </c>
      <c r="Q148" s="3">
        <f t="shared" si="34"/>
        <v>300.14999999999998</v>
      </c>
      <c r="R148" s="2" t="str">
        <f>IF(Table1[[#This Row],[Profit]]&gt;500,"Yes","No")</f>
        <v>No</v>
      </c>
    </row>
    <row r="149" spans="1:18" x14ac:dyDescent="0.35">
      <c r="A149" s="9" t="s">
        <v>404</v>
      </c>
      <c r="B149" s="4">
        <v>45582</v>
      </c>
      <c r="C149" s="2" t="s">
        <v>204</v>
      </c>
      <c r="D149" s="2">
        <v>8555</v>
      </c>
      <c r="E149" s="2" t="s">
        <v>13</v>
      </c>
      <c r="F149" s="2" t="s">
        <v>11</v>
      </c>
      <c r="G149" s="2" t="s">
        <v>12</v>
      </c>
      <c r="H149" s="5">
        <v>9</v>
      </c>
      <c r="I149" s="3">
        <v>194.06</v>
      </c>
      <c r="J149" s="3">
        <f t="shared" si="28"/>
        <v>1746.54</v>
      </c>
      <c r="K149" s="3">
        <v>1176.6199999999999</v>
      </c>
      <c r="L149" s="3">
        <f t="shared" si="29"/>
        <v>569.92000000000007</v>
      </c>
      <c r="M149" s="4" t="str">
        <f t="shared" si="30"/>
        <v>Oct</v>
      </c>
      <c r="N149" s="2" t="str">
        <f t="shared" si="31"/>
        <v>2024</v>
      </c>
      <c r="O149" s="2" t="str">
        <f t="shared" si="32"/>
        <v>Oct-2024</v>
      </c>
      <c r="P149" s="6">
        <f t="shared" si="33"/>
        <v>0.32631374030941179</v>
      </c>
      <c r="Q149" s="3">
        <f t="shared" si="34"/>
        <v>194.06</v>
      </c>
      <c r="R149" s="2" t="str">
        <f>IF(Table1[[#This Row],[Profit]]&gt;500,"Yes","No")</f>
        <v>Yes</v>
      </c>
    </row>
    <row r="150" spans="1:18" x14ac:dyDescent="0.35">
      <c r="A150" s="9" t="s">
        <v>300</v>
      </c>
      <c r="B150" s="4">
        <v>45581</v>
      </c>
      <c r="C150" s="2" t="s">
        <v>100</v>
      </c>
      <c r="D150" s="2">
        <v>6296</v>
      </c>
      <c r="E150" s="2" t="s">
        <v>17</v>
      </c>
      <c r="F150" s="2" t="s">
        <v>20</v>
      </c>
      <c r="G150" s="2" t="s">
        <v>21</v>
      </c>
      <c r="H150" s="5">
        <v>5</v>
      </c>
      <c r="I150" s="3">
        <v>253.28</v>
      </c>
      <c r="J150" s="3">
        <f t="shared" si="28"/>
        <v>1266.4000000000001</v>
      </c>
      <c r="K150" s="3">
        <v>861.61</v>
      </c>
      <c r="L150" s="3">
        <f t="shared" si="29"/>
        <v>404.79000000000008</v>
      </c>
      <c r="M150" s="4" t="str">
        <f t="shared" si="30"/>
        <v>Oct</v>
      </c>
      <c r="N150" s="2" t="str">
        <f t="shared" si="31"/>
        <v>2024</v>
      </c>
      <c r="O150" s="2" t="str">
        <f t="shared" si="32"/>
        <v>Oct-2024</v>
      </c>
      <c r="P150" s="6">
        <f t="shared" si="33"/>
        <v>0.31963834491471893</v>
      </c>
      <c r="Q150" s="3">
        <f t="shared" si="34"/>
        <v>253.28000000000003</v>
      </c>
      <c r="R150" s="2" t="str">
        <f>IF(Table1[[#This Row],[Profit]]&gt;500,"Yes","No")</f>
        <v>No</v>
      </c>
    </row>
    <row r="151" spans="1:18" x14ac:dyDescent="0.35">
      <c r="A151" s="9" t="s">
        <v>259</v>
      </c>
      <c r="B151" s="4">
        <v>45579</v>
      </c>
      <c r="C151" s="2" t="s">
        <v>59</v>
      </c>
      <c r="D151" s="2">
        <v>5307</v>
      </c>
      <c r="E151" s="2" t="s">
        <v>13</v>
      </c>
      <c r="F151" s="2" t="s">
        <v>11</v>
      </c>
      <c r="G151" s="2" t="s">
        <v>14</v>
      </c>
      <c r="H151" s="5">
        <v>7</v>
      </c>
      <c r="I151" s="3">
        <v>379.44</v>
      </c>
      <c r="J151" s="3">
        <f t="shared" si="28"/>
        <v>2656.08</v>
      </c>
      <c r="K151" s="3">
        <v>2054.27</v>
      </c>
      <c r="L151" s="3">
        <f t="shared" si="29"/>
        <v>601.80999999999995</v>
      </c>
      <c r="M151" s="4" t="str">
        <f t="shared" si="30"/>
        <v>Oct</v>
      </c>
      <c r="N151" s="2" t="str">
        <f t="shared" si="31"/>
        <v>2024</v>
      </c>
      <c r="O151" s="2" t="str">
        <f t="shared" si="32"/>
        <v>Oct-2024</v>
      </c>
      <c r="P151" s="6">
        <f t="shared" si="33"/>
        <v>0.22657826571488809</v>
      </c>
      <c r="Q151" s="3">
        <f t="shared" si="34"/>
        <v>379.44</v>
      </c>
      <c r="R151" s="2" t="str">
        <f>IF(Table1[[#This Row],[Profit]]&gt;500,"Yes","No")</f>
        <v>Yes</v>
      </c>
    </row>
    <row r="152" spans="1:18" x14ac:dyDescent="0.35">
      <c r="A152" s="9" t="s">
        <v>412</v>
      </c>
      <c r="B152" s="4">
        <v>45579</v>
      </c>
      <c r="C152" s="2" t="s">
        <v>212</v>
      </c>
      <c r="D152" s="2">
        <v>8247</v>
      </c>
      <c r="E152" s="2" t="s">
        <v>24</v>
      </c>
      <c r="F152" s="2" t="s">
        <v>25</v>
      </c>
      <c r="G152" s="2" t="s">
        <v>26</v>
      </c>
      <c r="H152" s="5">
        <v>2</v>
      </c>
      <c r="I152" s="3">
        <v>320.7</v>
      </c>
      <c r="J152" s="3">
        <f t="shared" si="28"/>
        <v>641.4</v>
      </c>
      <c r="K152" s="3">
        <v>413.18</v>
      </c>
      <c r="L152" s="3">
        <f t="shared" si="29"/>
        <v>228.21999999999997</v>
      </c>
      <c r="M152" s="4" t="str">
        <f t="shared" si="30"/>
        <v>Oct</v>
      </c>
      <c r="N152" s="2" t="str">
        <f t="shared" si="31"/>
        <v>2024</v>
      </c>
      <c r="O152" s="2" t="str">
        <f t="shared" si="32"/>
        <v>Oct-2024</v>
      </c>
      <c r="P152" s="6">
        <f t="shared" si="33"/>
        <v>0.35581540380417831</v>
      </c>
      <c r="Q152" s="3">
        <f t="shared" si="34"/>
        <v>320.7</v>
      </c>
      <c r="R152" s="2" t="str">
        <f>IF(Table1[[#This Row],[Profit]]&gt;500,"Yes","No")</f>
        <v>No</v>
      </c>
    </row>
    <row r="153" spans="1:18" x14ac:dyDescent="0.35">
      <c r="A153" s="9" t="s">
        <v>298</v>
      </c>
      <c r="B153" s="4">
        <v>45577</v>
      </c>
      <c r="C153" s="2" t="s">
        <v>98</v>
      </c>
      <c r="D153" s="2">
        <v>4973</v>
      </c>
      <c r="E153" s="2" t="s">
        <v>13</v>
      </c>
      <c r="F153" s="2" t="s">
        <v>15</v>
      </c>
      <c r="G153" s="2" t="s">
        <v>19</v>
      </c>
      <c r="H153" s="5">
        <v>3</v>
      </c>
      <c r="I153" s="3">
        <v>286.11</v>
      </c>
      <c r="J153" s="3">
        <f t="shared" si="28"/>
        <v>858.33</v>
      </c>
      <c r="K153" s="3">
        <v>580.70000000000005</v>
      </c>
      <c r="L153" s="3">
        <f t="shared" si="29"/>
        <v>277.63</v>
      </c>
      <c r="M153" s="4" t="str">
        <f t="shared" si="30"/>
        <v>Oct</v>
      </c>
      <c r="N153" s="2" t="str">
        <f t="shared" si="31"/>
        <v>2024</v>
      </c>
      <c r="O153" s="2" t="str">
        <f t="shared" si="32"/>
        <v>Oct-2024</v>
      </c>
      <c r="P153" s="6">
        <f t="shared" si="33"/>
        <v>0.32345368331527496</v>
      </c>
      <c r="Q153" s="3">
        <f t="shared" si="34"/>
        <v>286.11</v>
      </c>
      <c r="R153" s="2" t="str">
        <f>IF(Table1[[#This Row],[Profit]]&gt;500,"Yes","No")</f>
        <v>No</v>
      </c>
    </row>
    <row r="154" spans="1:18" x14ac:dyDescent="0.35">
      <c r="A154" s="9" t="s">
        <v>274</v>
      </c>
      <c r="B154" s="4">
        <v>45576</v>
      </c>
      <c r="C154" s="2" t="s">
        <v>74</v>
      </c>
      <c r="D154" s="2">
        <v>5922</v>
      </c>
      <c r="E154" s="2" t="s">
        <v>17</v>
      </c>
      <c r="F154" s="2" t="s">
        <v>22</v>
      </c>
      <c r="G154" s="2" t="s">
        <v>28</v>
      </c>
      <c r="H154" s="5">
        <v>5</v>
      </c>
      <c r="I154" s="3">
        <v>427.25</v>
      </c>
      <c r="J154" s="3">
        <f t="shared" si="28"/>
        <v>2136.25</v>
      </c>
      <c r="K154" s="3">
        <v>1648.81</v>
      </c>
      <c r="L154" s="3">
        <f t="shared" si="29"/>
        <v>487.44000000000005</v>
      </c>
      <c r="M154" s="4" t="str">
        <f t="shared" si="30"/>
        <v>Oct</v>
      </c>
      <c r="N154" s="2" t="str">
        <f t="shared" si="31"/>
        <v>2024</v>
      </c>
      <c r="O154" s="2" t="str">
        <f t="shared" si="32"/>
        <v>Oct-2024</v>
      </c>
      <c r="P154" s="6">
        <f t="shared" si="33"/>
        <v>0.2281755412521943</v>
      </c>
      <c r="Q154" s="3">
        <f t="shared" si="34"/>
        <v>427.25</v>
      </c>
      <c r="R154" s="2" t="str">
        <f>IF(Table1[[#This Row],[Profit]]&gt;500,"Yes","No")</f>
        <v>No</v>
      </c>
    </row>
    <row r="155" spans="1:18" x14ac:dyDescent="0.35">
      <c r="A155" s="9" t="s">
        <v>372</v>
      </c>
      <c r="B155" s="4">
        <v>45574</v>
      </c>
      <c r="C155" s="2" t="s">
        <v>172</v>
      </c>
      <c r="D155" s="2">
        <v>2642</v>
      </c>
      <c r="E155" s="2" t="s">
        <v>24</v>
      </c>
      <c r="F155" s="2" t="s">
        <v>11</v>
      </c>
      <c r="G155" s="2" t="s">
        <v>18</v>
      </c>
      <c r="H155" s="5">
        <v>3</v>
      </c>
      <c r="I155" s="3">
        <v>253.74</v>
      </c>
      <c r="J155" s="3">
        <f t="shared" si="28"/>
        <v>761.22</v>
      </c>
      <c r="K155" s="3">
        <v>631.85</v>
      </c>
      <c r="L155" s="3">
        <f t="shared" si="29"/>
        <v>129.37</v>
      </c>
      <c r="M155" s="4" t="str">
        <f t="shared" si="30"/>
        <v>Oct</v>
      </c>
      <c r="N155" s="2" t="str">
        <f t="shared" si="31"/>
        <v>2024</v>
      </c>
      <c r="O155" s="2" t="str">
        <f t="shared" si="32"/>
        <v>Oct-2024</v>
      </c>
      <c r="P155" s="6">
        <f t="shared" si="33"/>
        <v>0.16995086834292319</v>
      </c>
      <c r="Q155" s="3">
        <f t="shared" si="34"/>
        <v>253.74</v>
      </c>
      <c r="R155" s="2" t="str">
        <f>IF(Table1[[#This Row],[Profit]]&gt;500,"Yes","No")</f>
        <v>No</v>
      </c>
    </row>
    <row r="156" spans="1:18" x14ac:dyDescent="0.35">
      <c r="A156" s="9" t="s">
        <v>260</v>
      </c>
      <c r="B156" s="4">
        <v>45573</v>
      </c>
      <c r="C156" s="2" t="s">
        <v>60</v>
      </c>
      <c r="D156" s="2">
        <v>3624</v>
      </c>
      <c r="E156" s="2" t="s">
        <v>24</v>
      </c>
      <c r="F156" s="2" t="s">
        <v>11</v>
      </c>
      <c r="G156" s="2" t="s">
        <v>12</v>
      </c>
      <c r="H156" s="5">
        <v>7</v>
      </c>
      <c r="I156" s="3">
        <v>341.38</v>
      </c>
      <c r="J156" s="3">
        <f t="shared" si="28"/>
        <v>2389.66</v>
      </c>
      <c r="K156" s="3">
        <v>1879.48</v>
      </c>
      <c r="L156" s="3">
        <f t="shared" si="29"/>
        <v>510.17999999999984</v>
      </c>
      <c r="M156" s="4" t="str">
        <f t="shared" si="30"/>
        <v>Oct</v>
      </c>
      <c r="N156" s="2" t="str">
        <f t="shared" si="31"/>
        <v>2024</v>
      </c>
      <c r="O156" s="2" t="str">
        <f t="shared" si="32"/>
        <v>Oct-2024</v>
      </c>
      <c r="P156" s="6">
        <f t="shared" si="33"/>
        <v>0.21349480679259805</v>
      </c>
      <c r="Q156" s="3">
        <f t="shared" si="34"/>
        <v>341.38</v>
      </c>
      <c r="R156" s="2" t="str">
        <f>IF(Table1[[#This Row],[Profit]]&gt;500,"Yes","No")</f>
        <v>Yes</v>
      </c>
    </row>
    <row r="157" spans="1:18" x14ac:dyDescent="0.35">
      <c r="A157" s="9" t="s">
        <v>316</v>
      </c>
      <c r="B157" s="4">
        <v>45565</v>
      </c>
      <c r="C157" s="2" t="s">
        <v>116</v>
      </c>
      <c r="D157" s="2">
        <v>1832</v>
      </c>
      <c r="E157" s="2" t="s">
        <v>17</v>
      </c>
      <c r="F157" s="2" t="s">
        <v>15</v>
      </c>
      <c r="G157" s="2" t="s">
        <v>36</v>
      </c>
      <c r="H157" s="5">
        <v>7</v>
      </c>
      <c r="I157" s="3">
        <v>260.17</v>
      </c>
      <c r="J157" s="3">
        <f t="shared" si="28"/>
        <v>1821.19</v>
      </c>
      <c r="K157" s="3">
        <v>1624.05</v>
      </c>
      <c r="L157" s="3">
        <f t="shared" si="29"/>
        <v>197.1400000000001</v>
      </c>
      <c r="M157" s="4" t="str">
        <f t="shared" si="30"/>
        <v>Sep</v>
      </c>
      <c r="N157" s="2" t="str">
        <f t="shared" si="31"/>
        <v>2024</v>
      </c>
      <c r="O157" s="2" t="str">
        <f t="shared" si="32"/>
        <v>Sep-2024</v>
      </c>
      <c r="P157" s="6">
        <f t="shared" si="33"/>
        <v>0.10824790384309166</v>
      </c>
      <c r="Q157" s="3">
        <f t="shared" si="34"/>
        <v>260.17</v>
      </c>
      <c r="R157" s="2" t="str">
        <f>IF(Table1[[#This Row],[Profit]]&gt;500,"Yes","No")</f>
        <v>No</v>
      </c>
    </row>
    <row r="158" spans="1:18" x14ac:dyDescent="0.35">
      <c r="A158" s="9" t="s">
        <v>278</v>
      </c>
      <c r="B158" s="4">
        <v>45564</v>
      </c>
      <c r="C158" s="2" t="s">
        <v>78</v>
      </c>
      <c r="D158" s="2">
        <v>3734</v>
      </c>
      <c r="E158" s="2" t="s">
        <v>24</v>
      </c>
      <c r="F158" s="2" t="s">
        <v>22</v>
      </c>
      <c r="G158" s="2" t="s">
        <v>23</v>
      </c>
      <c r="H158" s="5">
        <v>2</v>
      </c>
      <c r="I158" s="3">
        <v>494.21</v>
      </c>
      <c r="J158" s="3">
        <f t="shared" si="28"/>
        <v>988.42</v>
      </c>
      <c r="K158" s="3">
        <v>754.14</v>
      </c>
      <c r="L158" s="3">
        <f t="shared" si="29"/>
        <v>234.27999999999997</v>
      </c>
      <c r="M158" s="4" t="str">
        <f t="shared" si="30"/>
        <v>Sep</v>
      </c>
      <c r="N158" s="2" t="str">
        <f t="shared" si="31"/>
        <v>2024</v>
      </c>
      <c r="O158" s="2" t="str">
        <f t="shared" si="32"/>
        <v>Sep-2024</v>
      </c>
      <c r="P158" s="6">
        <f t="shared" si="33"/>
        <v>0.23702474656522529</v>
      </c>
      <c r="Q158" s="3">
        <f t="shared" si="34"/>
        <v>494.21</v>
      </c>
      <c r="R158" s="2" t="str">
        <f>IF(Table1[[#This Row],[Profit]]&gt;500,"Yes","No")</f>
        <v>No</v>
      </c>
    </row>
    <row r="159" spans="1:18" x14ac:dyDescent="0.35">
      <c r="A159" s="9" t="s">
        <v>294</v>
      </c>
      <c r="B159" s="4">
        <v>45564</v>
      </c>
      <c r="C159" s="2" t="s">
        <v>94</v>
      </c>
      <c r="D159" s="2">
        <v>7226</v>
      </c>
      <c r="E159" s="2" t="s">
        <v>10</v>
      </c>
      <c r="F159" s="2" t="s">
        <v>20</v>
      </c>
      <c r="G159" s="2" t="s">
        <v>27</v>
      </c>
      <c r="H159" s="5">
        <v>9</v>
      </c>
      <c r="I159" s="3">
        <v>125.41</v>
      </c>
      <c r="J159" s="3">
        <f t="shared" si="28"/>
        <v>1128.69</v>
      </c>
      <c r="K159" s="3">
        <v>983.25</v>
      </c>
      <c r="L159" s="3">
        <f t="shared" si="29"/>
        <v>145.44000000000005</v>
      </c>
      <c r="M159" s="4" t="str">
        <f t="shared" si="30"/>
        <v>Sep</v>
      </c>
      <c r="N159" s="2" t="str">
        <f t="shared" si="31"/>
        <v>2024</v>
      </c>
      <c r="O159" s="2" t="str">
        <f t="shared" si="32"/>
        <v>Sep-2024</v>
      </c>
      <c r="P159" s="6">
        <f t="shared" si="33"/>
        <v>0.12885734789889167</v>
      </c>
      <c r="Q159" s="3">
        <f t="shared" si="34"/>
        <v>125.41000000000001</v>
      </c>
      <c r="R159" s="2" t="str">
        <f>IF(Table1[[#This Row],[Profit]]&gt;500,"Yes","No")</f>
        <v>No</v>
      </c>
    </row>
    <row r="160" spans="1:18" x14ac:dyDescent="0.35">
      <c r="A160" s="9" t="s">
        <v>324</v>
      </c>
      <c r="B160" s="4">
        <v>45564</v>
      </c>
      <c r="C160" s="2" t="s">
        <v>124</v>
      </c>
      <c r="D160" s="2">
        <v>3138</v>
      </c>
      <c r="E160" s="2" t="s">
        <v>13</v>
      </c>
      <c r="F160" s="2" t="s">
        <v>25</v>
      </c>
      <c r="G160" s="2" t="s">
        <v>30</v>
      </c>
      <c r="H160" s="5">
        <v>1</v>
      </c>
      <c r="I160" s="3">
        <v>484.59</v>
      </c>
      <c r="J160" s="3">
        <f t="shared" si="28"/>
        <v>484.59</v>
      </c>
      <c r="K160" s="3">
        <v>371.77</v>
      </c>
      <c r="L160" s="3">
        <f t="shared" si="29"/>
        <v>112.82</v>
      </c>
      <c r="M160" s="4" t="str">
        <f t="shared" si="30"/>
        <v>Sep</v>
      </c>
      <c r="N160" s="2" t="str">
        <f t="shared" si="31"/>
        <v>2024</v>
      </c>
      <c r="O160" s="2" t="str">
        <f t="shared" si="32"/>
        <v>Sep-2024</v>
      </c>
      <c r="P160" s="6">
        <f t="shared" si="33"/>
        <v>0.2328153696939681</v>
      </c>
      <c r="Q160" s="3">
        <f t="shared" si="34"/>
        <v>484.59</v>
      </c>
      <c r="R160" s="2" t="str">
        <f>IF(Table1[[#This Row],[Profit]]&gt;500,"Yes","No")</f>
        <v>No</v>
      </c>
    </row>
    <row r="161" spans="1:18" x14ac:dyDescent="0.35">
      <c r="A161" s="9" t="s">
        <v>282</v>
      </c>
      <c r="B161" s="4">
        <v>45562</v>
      </c>
      <c r="C161" s="2" t="s">
        <v>82</v>
      </c>
      <c r="D161" s="2">
        <v>3233</v>
      </c>
      <c r="E161" s="2" t="s">
        <v>17</v>
      </c>
      <c r="F161" s="2" t="s">
        <v>22</v>
      </c>
      <c r="G161" s="2" t="s">
        <v>34</v>
      </c>
      <c r="H161" s="5">
        <v>1</v>
      </c>
      <c r="I161" s="3">
        <v>98.1</v>
      </c>
      <c r="J161" s="3">
        <f t="shared" si="28"/>
        <v>98.1</v>
      </c>
      <c r="K161" s="3">
        <v>65.59</v>
      </c>
      <c r="L161" s="3">
        <f t="shared" si="29"/>
        <v>32.509999999999991</v>
      </c>
      <c r="M161" s="4" t="str">
        <f t="shared" si="30"/>
        <v>Sep</v>
      </c>
      <c r="N161" s="2" t="str">
        <f t="shared" si="31"/>
        <v>2024</v>
      </c>
      <c r="O161" s="2" t="str">
        <f t="shared" si="32"/>
        <v>Sep-2024</v>
      </c>
      <c r="P161" s="6">
        <f t="shared" si="33"/>
        <v>0.33139653414882764</v>
      </c>
      <c r="Q161" s="3">
        <f t="shared" si="34"/>
        <v>98.1</v>
      </c>
      <c r="R161" s="2" t="str">
        <f>IF(Table1[[#This Row],[Profit]]&gt;500,"Yes","No")</f>
        <v>No</v>
      </c>
    </row>
    <row r="162" spans="1:18" x14ac:dyDescent="0.35">
      <c r="A162" s="9" t="s">
        <v>327</v>
      </c>
      <c r="B162" s="4">
        <v>45561</v>
      </c>
      <c r="C162" s="2" t="s">
        <v>127</v>
      </c>
      <c r="D162" s="2">
        <v>6079</v>
      </c>
      <c r="E162" s="2" t="s">
        <v>13</v>
      </c>
      <c r="F162" s="2" t="s">
        <v>25</v>
      </c>
      <c r="G162" s="2" t="s">
        <v>30</v>
      </c>
      <c r="H162" s="5">
        <v>4</v>
      </c>
      <c r="I162" s="3">
        <v>42.69</v>
      </c>
      <c r="J162" s="3">
        <f t="shared" ref="J162:J193" si="35">H162*I162</f>
        <v>170.76</v>
      </c>
      <c r="K162" s="3">
        <v>139.47</v>
      </c>
      <c r="L162" s="3">
        <f t="shared" ref="L162:L193" si="36">J162-K162</f>
        <v>31.289999999999992</v>
      </c>
      <c r="M162" s="4" t="str">
        <f t="shared" ref="M162:M193" si="37">TEXT(B162,"MMM")</f>
        <v>Sep</v>
      </c>
      <c r="N162" s="2" t="str">
        <f t="shared" ref="N162:N193" si="38">TEXT(B162,"YYYY")</f>
        <v>2024</v>
      </c>
      <c r="O162" s="2" t="str">
        <f t="shared" ref="O162:O193" si="39">TEXT(B162,"mmm-yyyy")</f>
        <v>Sep-2024</v>
      </c>
      <c r="P162" s="6">
        <f t="shared" ref="P162:P193" si="40">IF(H162=0,0,(L162/J162))</f>
        <v>0.18323963457484185</v>
      </c>
      <c r="Q162" s="3">
        <f t="shared" ref="Q162:Q193" si="41">J162/H162</f>
        <v>42.69</v>
      </c>
      <c r="R162" s="2" t="str">
        <f>IF(Table1[[#This Row],[Profit]]&gt;500,"Yes","No")</f>
        <v>No</v>
      </c>
    </row>
    <row r="163" spans="1:18" x14ac:dyDescent="0.35">
      <c r="A163" s="9" t="s">
        <v>329</v>
      </c>
      <c r="B163" s="4">
        <v>45561</v>
      </c>
      <c r="C163" s="2" t="s">
        <v>129</v>
      </c>
      <c r="D163" s="2">
        <v>3771</v>
      </c>
      <c r="E163" s="2" t="s">
        <v>13</v>
      </c>
      <c r="F163" s="2" t="s">
        <v>20</v>
      </c>
      <c r="G163" s="2" t="s">
        <v>31</v>
      </c>
      <c r="H163" s="5">
        <v>10</v>
      </c>
      <c r="I163" s="3">
        <v>428.52</v>
      </c>
      <c r="J163" s="3">
        <f t="shared" si="35"/>
        <v>4285.2</v>
      </c>
      <c r="K163" s="3">
        <v>3481.15</v>
      </c>
      <c r="L163" s="3">
        <f t="shared" si="36"/>
        <v>804.04999999999973</v>
      </c>
      <c r="M163" s="4" t="str">
        <f t="shared" si="37"/>
        <v>Sep</v>
      </c>
      <c r="N163" s="2" t="str">
        <f t="shared" si="38"/>
        <v>2024</v>
      </c>
      <c r="O163" s="2" t="str">
        <f t="shared" si="39"/>
        <v>Sep-2024</v>
      </c>
      <c r="P163" s="6">
        <f t="shared" si="40"/>
        <v>0.18763418276859883</v>
      </c>
      <c r="Q163" s="3">
        <f t="shared" si="41"/>
        <v>428.52</v>
      </c>
      <c r="R163" s="2" t="str">
        <f>IF(Table1[[#This Row],[Profit]]&gt;500,"Yes","No")</f>
        <v>Yes</v>
      </c>
    </row>
    <row r="164" spans="1:18" x14ac:dyDescent="0.35">
      <c r="A164" s="9" t="s">
        <v>354</v>
      </c>
      <c r="B164" s="4">
        <v>45559</v>
      </c>
      <c r="C164" s="2" t="s">
        <v>154</v>
      </c>
      <c r="D164" s="2">
        <v>2377</v>
      </c>
      <c r="E164" s="2" t="s">
        <v>10</v>
      </c>
      <c r="F164" s="2" t="s">
        <v>20</v>
      </c>
      <c r="G164" s="2" t="s">
        <v>35</v>
      </c>
      <c r="H164" s="5">
        <v>1</v>
      </c>
      <c r="I164" s="3">
        <v>35.44</v>
      </c>
      <c r="J164" s="3">
        <f t="shared" si="35"/>
        <v>35.44</v>
      </c>
      <c r="K164" s="3">
        <v>25.27</v>
      </c>
      <c r="L164" s="3">
        <f t="shared" si="36"/>
        <v>10.169999999999998</v>
      </c>
      <c r="M164" s="4" t="str">
        <f t="shared" si="37"/>
        <v>Sep</v>
      </c>
      <c r="N164" s="2" t="str">
        <f t="shared" si="38"/>
        <v>2024</v>
      </c>
      <c r="O164" s="2" t="str">
        <f t="shared" si="39"/>
        <v>Sep-2024</v>
      </c>
      <c r="P164" s="6">
        <f t="shared" si="40"/>
        <v>0.28696388261851014</v>
      </c>
      <c r="Q164" s="3">
        <f t="shared" si="41"/>
        <v>35.44</v>
      </c>
      <c r="R164" s="2" t="str">
        <f>IF(Table1[[#This Row],[Profit]]&gt;500,"Yes","No")</f>
        <v>No</v>
      </c>
    </row>
    <row r="165" spans="1:18" x14ac:dyDescent="0.35">
      <c r="A165" s="9" t="s">
        <v>308</v>
      </c>
      <c r="B165" s="4">
        <v>45558</v>
      </c>
      <c r="C165" s="2" t="s">
        <v>108</v>
      </c>
      <c r="D165" s="2">
        <v>9861</v>
      </c>
      <c r="E165" s="2" t="s">
        <v>10</v>
      </c>
      <c r="F165" s="2" t="s">
        <v>20</v>
      </c>
      <c r="G165" s="2" t="s">
        <v>27</v>
      </c>
      <c r="H165" s="5">
        <v>3</v>
      </c>
      <c r="I165" s="3">
        <v>86.71</v>
      </c>
      <c r="J165" s="3">
        <f t="shared" si="35"/>
        <v>260.13</v>
      </c>
      <c r="K165" s="3">
        <v>172.28</v>
      </c>
      <c r="L165" s="3">
        <f t="shared" si="36"/>
        <v>87.85</v>
      </c>
      <c r="M165" s="4" t="str">
        <f t="shared" si="37"/>
        <v>Sep</v>
      </c>
      <c r="N165" s="2" t="str">
        <f t="shared" si="38"/>
        <v>2024</v>
      </c>
      <c r="O165" s="2" t="str">
        <f t="shared" si="39"/>
        <v>Sep-2024</v>
      </c>
      <c r="P165" s="6">
        <f t="shared" si="40"/>
        <v>0.33771575750586241</v>
      </c>
      <c r="Q165" s="3">
        <f t="shared" si="41"/>
        <v>86.71</v>
      </c>
      <c r="R165" s="2" t="str">
        <f>IF(Table1[[#This Row],[Profit]]&gt;500,"Yes","No")</f>
        <v>No</v>
      </c>
    </row>
    <row r="166" spans="1:18" x14ac:dyDescent="0.35">
      <c r="A166" s="9" t="s">
        <v>242</v>
      </c>
      <c r="B166" s="4">
        <v>45556</v>
      </c>
      <c r="C166" s="2" t="s">
        <v>42</v>
      </c>
      <c r="D166" s="2">
        <v>9273</v>
      </c>
      <c r="E166" s="2" t="s">
        <v>17</v>
      </c>
      <c r="F166" s="2" t="s">
        <v>15</v>
      </c>
      <c r="G166" s="2" t="s">
        <v>16</v>
      </c>
      <c r="H166" s="5">
        <v>7</v>
      </c>
      <c r="I166" s="3">
        <v>86.79</v>
      </c>
      <c r="J166" s="3">
        <f t="shared" si="35"/>
        <v>607.53000000000009</v>
      </c>
      <c r="K166" s="3">
        <v>395.57</v>
      </c>
      <c r="L166" s="3">
        <f t="shared" si="36"/>
        <v>211.96000000000009</v>
      </c>
      <c r="M166" s="4" t="str">
        <f t="shared" si="37"/>
        <v>Sep</v>
      </c>
      <c r="N166" s="2" t="str">
        <f t="shared" si="38"/>
        <v>2024</v>
      </c>
      <c r="O166" s="2" t="str">
        <f t="shared" si="39"/>
        <v>Sep-2024</v>
      </c>
      <c r="P166" s="6">
        <f t="shared" si="40"/>
        <v>0.34888812075123871</v>
      </c>
      <c r="Q166" s="3">
        <f t="shared" si="41"/>
        <v>86.79</v>
      </c>
      <c r="R166" s="2" t="str">
        <f>IF(Table1[[#This Row],[Profit]]&gt;500,"Yes","No")</f>
        <v>No</v>
      </c>
    </row>
    <row r="167" spans="1:18" x14ac:dyDescent="0.35">
      <c r="A167" s="9" t="s">
        <v>417</v>
      </c>
      <c r="B167" s="4">
        <v>45555</v>
      </c>
      <c r="C167" s="2" t="s">
        <v>217</v>
      </c>
      <c r="D167" s="2">
        <v>9806</v>
      </c>
      <c r="E167" s="2" t="s">
        <v>24</v>
      </c>
      <c r="F167" s="2" t="s">
        <v>20</v>
      </c>
      <c r="G167" s="2" t="s">
        <v>35</v>
      </c>
      <c r="H167" s="5">
        <v>2</v>
      </c>
      <c r="I167" s="3">
        <v>90.3</v>
      </c>
      <c r="J167" s="3">
        <f t="shared" si="35"/>
        <v>180.6</v>
      </c>
      <c r="K167" s="3">
        <v>112.15</v>
      </c>
      <c r="L167" s="3">
        <f t="shared" si="36"/>
        <v>68.449999999999989</v>
      </c>
      <c r="M167" s="4" t="str">
        <f t="shared" si="37"/>
        <v>Sep</v>
      </c>
      <c r="N167" s="2" t="str">
        <f t="shared" si="38"/>
        <v>2024</v>
      </c>
      <c r="O167" s="2" t="str">
        <f t="shared" si="39"/>
        <v>Sep-2024</v>
      </c>
      <c r="P167" s="6">
        <f t="shared" si="40"/>
        <v>0.3790143964562569</v>
      </c>
      <c r="Q167" s="3">
        <f t="shared" si="41"/>
        <v>90.3</v>
      </c>
      <c r="R167" s="2" t="str">
        <f>IF(Table1[[#This Row],[Profit]]&gt;500,"Yes","No")</f>
        <v>No</v>
      </c>
    </row>
    <row r="168" spans="1:18" x14ac:dyDescent="0.35">
      <c r="A168" s="9" t="s">
        <v>252</v>
      </c>
      <c r="B168" s="4">
        <v>45551</v>
      </c>
      <c r="C168" s="2" t="s">
        <v>52</v>
      </c>
      <c r="D168" s="2">
        <v>1205</v>
      </c>
      <c r="E168" s="2" t="s">
        <v>13</v>
      </c>
      <c r="F168" s="2" t="s">
        <v>20</v>
      </c>
      <c r="G168" s="2" t="s">
        <v>21</v>
      </c>
      <c r="H168" s="5">
        <v>10</v>
      </c>
      <c r="I168" s="3">
        <v>158.05000000000001</v>
      </c>
      <c r="J168" s="3">
        <f t="shared" si="35"/>
        <v>1580.5</v>
      </c>
      <c r="K168" s="3">
        <v>1277.25</v>
      </c>
      <c r="L168" s="3">
        <f t="shared" si="36"/>
        <v>303.25</v>
      </c>
      <c r="M168" s="4" t="str">
        <f t="shared" si="37"/>
        <v>Sep</v>
      </c>
      <c r="N168" s="2" t="str">
        <f t="shared" si="38"/>
        <v>2024</v>
      </c>
      <c r="O168" s="2" t="str">
        <f t="shared" si="39"/>
        <v>Sep-2024</v>
      </c>
      <c r="P168" s="6">
        <f t="shared" si="40"/>
        <v>0.19186966149952547</v>
      </c>
      <c r="Q168" s="3">
        <f t="shared" si="41"/>
        <v>158.05000000000001</v>
      </c>
      <c r="R168" s="2" t="str">
        <f>IF(Table1[[#This Row],[Profit]]&gt;500,"Yes","No")</f>
        <v>No</v>
      </c>
    </row>
    <row r="169" spans="1:18" x14ac:dyDescent="0.35">
      <c r="A169" s="9" t="s">
        <v>352</v>
      </c>
      <c r="B169" s="4">
        <v>45542</v>
      </c>
      <c r="C169" s="2" t="s">
        <v>152</v>
      </c>
      <c r="D169" s="2">
        <v>7000</v>
      </c>
      <c r="E169" s="2" t="s">
        <v>10</v>
      </c>
      <c r="F169" s="2" t="s">
        <v>11</v>
      </c>
      <c r="G169" s="2" t="s">
        <v>14</v>
      </c>
      <c r="H169" s="5">
        <v>3</v>
      </c>
      <c r="I169" s="3">
        <v>375.01</v>
      </c>
      <c r="J169" s="3">
        <f t="shared" si="35"/>
        <v>1125.03</v>
      </c>
      <c r="K169" s="3">
        <v>923.21</v>
      </c>
      <c r="L169" s="3">
        <f t="shared" si="36"/>
        <v>201.81999999999994</v>
      </c>
      <c r="M169" s="4" t="str">
        <f t="shared" si="37"/>
        <v>Sep</v>
      </c>
      <c r="N169" s="2" t="str">
        <f t="shared" si="38"/>
        <v>2024</v>
      </c>
      <c r="O169" s="2" t="str">
        <f t="shared" si="39"/>
        <v>Sep-2024</v>
      </c>
      <c r="P169" s="6">
        <f t="shared" si="40"/>
        <v>0.17939077180164079</v>
      </c>
      <c r="Q169" s="3">
        <f t="shared" si="41"/>
        <v>375.01</v>
      </c>
      <c r="R169" s="2" t="str">
        <f>IF(Table1[[#This Row],[Profit]]&gt;500,"Yes","No")</f>
        <v>No</v>
      </c>
    </row>
    <row r="170" spans="1:18" x14ac:dyDescent="0.35">
      <c r="A170" s="9" t="s">
        <v>333</v>
      </c>
      <c r="B170" s="4">
        <v>45539</v>
      </c>
      <c r="C170" s="2" t="s">
        <v>133</v>
      </c>
      <c r="D170" s="2">
        <v>2765</v>
      </c>
      <c r="E170" s="2" t="s">
        <v>10</v>
      </c>
      <c r="F170" s="2" t="s">
        <v>22</v>
      </c>
      <c r="G170" s="2" t="s">
        <v>28</v>
      </c>
      <c r="H170" s="5">
        <v>8</v>
      </c>
      <c r="I170" s="3">
        <v>139.66</v>
      </c>
      <c r="J170" s="3">
        <f t="shared" si="35"/>
        <v>1117.28</v>
      </c>
      <c r="K170" s="3">
        <v>879.93</v>
      </c>
      <c r="L170" s="3">
        <f t="shared" si="36"/>
        <v>237.35000000000002</v>
      </c>
      <c r="M170" s="4" t="str">
        <f t="shared" si="37"/>
        <v>Sep</v>
      </c>
      <c r="N170" s="2" t="str">
        <f t="shared" si="38"/>
        <v>2024</v>
      </c>
      <c r="O170" s="2" t="str">
        <f t="shared" si="39"/>
        <v>Sep-2024</v>
      </c>
      <c r="P170" s="6">
        <f t="shared" si="40"/>
        <v>0.21243555778318776</v>
      </c>
      <c r="Q170" s="3">
        <f t="shared" si="41"/>
        <v>139.66</v>
      </c>
      <c r="R170" s="2" t="str">
        <f>IF(Table1[[#This Row],[Profit]]&gt;500,"Yes","No")</f>
        <v>No</v>
      </c>
    </row>
    <row r="171" spans="1:18" x14ac:dyDescent="0.35">
      <c r="A171" s="9" t="s">
        <v>407</v>
      </c>
      <c r="B171" s="4">
        <v>45536</v>
      </c>
      <c r="C171" s="2" t="s">
        <v>207</v>
      </c>
      <c r="D171" s="2">
        <v>9567</v>
      </c>
      <c r="E171" s="2" t="s">
        <v>17</v>
      </c>
      <c r="F171" s="2" t="s">
        <v>22</v>
      </c>
      <c r="G171" s="2" t="s">
        <v>34</v>
      </c>
      <c r="H171" s="5">
        <v>9</v>
      </c>
      <c r="I171" s="3">
        <v>29.42</v>
      </c>
      <c r="J171" s="3">
        <f t="shared" si="35"/>
        <v>264.78000000000003</v>
      </c>
      <c r="K171" s="3">
        <v>186.6</v>
      </c>
      <c r="L171" s="3">
        <f t="shared" si="36"/>
        <v>78.180000000000035</v>
      </c>
      <c r="M171" s="4" t="str">
        <f t="shared" si="37"/>
        <v>Sep</v>
      </c>
      <c r="N171" s="2" t="str">
        <f t="shared" si="38"/>
        <v>2024</v>
      </c>
      <c r="O171" s="2" t="str">
        <f t="shared" si="39"/>
        <v>Sep-2024</v>
      </c>
      <c r="P171" s="6">
        <f t="shared" si="40"/>
        <v>0.29526399274869713</v>
      </c>
      <c r="Q171" s="3">
        <f t="shared" si="41"/>
        <v>29.42</v>
      </c>
      <c r="R171" s="2" t="str">
        <f>IF(Table1[[#This Row],[Profit]]&gt;500,"Yes","No")</f>
        <v>No</v>
      </c>
    </row>
    <row r="172" spans="1:18" x14ac:dyDescent="0.35">
      <c r="A172" s="9" t="s">
        <v>315</v>
      </c>
      <c r="B172" s="4">
        <v>45535</v>
      </c>
      <c r="C172" s="2" t="s">
        <v>115</v>
      </c>
      <c r="D172" s="2">
        <v>7261</v>
      </c>
      <c r="E172" s="2" t="s">
        <v>24</v>
      </c>
      <c r="F172" s="2" t="s">
        <v>22</v>
      </c>
      <c r="G172" s="2" t="s">
        <v>29</v>
      </c>
      <c r="H172" s="5">
        <v>6</v>
      </c>
      <c r="I172" s="3">
        <v>340.57</v>
      </c>
      <c r="J172" s="3">
        <f t="shared" si="35"/>
        <v>2043.42</v>
      </c>
      <c r="K172" s="3">
        <v>1790.46</v>
      </c>
      <c r="L172" s="3">
        <f t="shared" si="36"/>
        <v>252.96000000000004</v>
      </c>
      <c r="M172" s="4" t="str">
        <f t="shared" si="37"/>
        <v>Aug</v>
      </c>
      <c r="N172" s="2" t="str">
        <f t="shared" si="38"/>
        <v>2024</v>
      </c>
      <c r="O172" s="2" t="str">
        <f t="shared" si="39"/>
        <v>Aug-2024</v>
      </c>
      <c r="P172" s="6">
        <f t="shared" si="40"/>
        <v>0.12379246557242271</v>
      </c>
      <c r="Q172" s="3">
        <f t="shared" si="41"/>
        <v>340.57</v>
      </c>
      <c r="R172" s="2" t="str">
        <f>IF(Table1[[#This Row],[Profit]]&gt;500,"Yes","No")</f>
        <v>No</v>
      </c>
    </row>
    <row r="173" spans="1:18" x14ac:dyDescent="0.35">
      <c r="A173" s="9" t="s">
        <v>426</v>
      </c>
      <c r="B173" s="4">
        <v>45535</v>
      </c>
      <c r="C173" s="2" t="s">
        <v>226</v>
      </c>
      <c r="D173" s="2">
        <v>7101</v>
      </c>
      <c r="E173" s="2" t="s">
        <v>13</v>
      </c>
      <c r="F173" s="2" t="s">
        <v>25</v>
      </c>
      <c r="G173" s="2" t="s">
        <v>37</v>
      </c>
      <c r="H173" s="5">
        <v>1</v>
      </c>
      <c r="I173" s="3">
        <v>16.34</v>
      </c>
      <c r="J173" s="3">
        <f t="shared" si="35"/>
        <v>16.34</v>
      </c>
      <c r="K173" s="3">
        <v>13.44</v>
      </c>
      <c r="L173" s="3">
        <f t="shared" si="36"/>
        <v>2.9000000000000004</v>
      </c>
      <c r="M173" s="4" t="str">
        <f t="shared" si="37"/>
        <v>Aug</v>
      </c>
      <c r="N173" s="2" t="str">
        <f t="shared" si="38"/>
        <v>2024</v>
      </c>
      <c r="O173" s="2" t="str">
        <f t="shared" si="39"/>
        <v>Aug-2024</v>
      </c>
      <c r="P173" s="6">
        <f t="shared" si="40"/>
        <v>0.17747858017135865</v>
      </c>
      <c r="Q173" s="3">
        <f t="shared" si="41"/>
        <v>16.34</v>
      </c>
      <c r="R173" s="2" t="str">
        <f>IF(Table1[[#This Row],[Profit]]&gt;500,"Yes","No")</f>
        <v>No</v>
      </c>
    </row>
    <row r="174" spans="1:18" x14ac:dyDescent="0.35">
      <c r="A174" s="9" t="s">
        <v>429</v>
      </c>
      <c r="B174" s="4">
        <v>45531</v>
      </c>
      <c r="C174" s="2" t="s">
        <v>229</v>
      </c>
      <c r="D174" s="2">
        <v>9583</v>
      </c>
      <c r="E174" s="2" t="s">
        <v>17</v>
      </c>
      <c r="F174" s="2" t="s">
        <v>15</v>
      </c>
      <c r="G174" s="2" t="s">
        <v>19</v>
      </c>
      <c r="H174" s="5">
        <v>1</v>
      </c>
      <c r="I174" s="3">
        <v>283.92</v>
      </c>
      <c r="J174" s="3">
        <f t="shared" si="35"/>
        <v>283.92</v>
      </c>
      <c r="K174" s="3">
        <v>241.71</v>
      </c>
      <c r="L174" s="3">
        <f t="shared" si="36"/>
        <v>42.210000000000008</v>
      </c>
      <c r="M174" s="4" t="str">
        <f t="shared" si="37"/>
        <v>Aug</v>
      </c>
      <c r="N174" s="2" t="str">
        <f t="shared" si="38"/>
        <v>2024</v>
      </c>
      <c r="O174" s="2" t="str">
        <f t="shared" si="39"/>
        <v>Aug-2024</v>
      </c>
      <c r="P174" s="6">
        <f t="shared" si="40"/>
        <v>0.14866863905325445</v>
      </c>
      <c r="Q174" s="3">
        <f t="shared" si="41"/>
        <v>283.92</v>
      </c>
      <c r="R174" s="2" t="str">
        <f>IF(Table1[[#This Row],[Profit]]&gt;500,"Yes","No")</f>
        <v>No</v>
      </c>
    </row>
    <row r="175" spans="1:18" x14ac:dyDescent="0.35">
      <c r="A175" s="9" t="s">
        <v>438</v>
      </c>
      <c r="B175" s="4">
        <v>45530</v>
      </c>
      <c r="C175" s="2" t="s">
        <v>238</v>
      </c>
      <c r="D175" s="2">
        <v>2503</v>
      </c>
      <c r="E175" s="2" t="s">
        <v>24</v>
      </c>
      <c r="F175" s="2" t="s">
        <v>25</v>
      </c>
      <c r="G175" s="2" t="s">
        <v>30</v>
      </c>
      <c r="H175" s="5">
        <v>1</v>
      </c>
      <c r="I175" s="3">
        <v>257.58</v>
      </c>
      <c r="J175" s="3">
        <f t="shared" si="35"/>
        <v>257.58</v>
      </c>
      <c r="K175" s="3">
        <v>201.96</v>
      </c>
      <c r="L175" s="3">
        <f t="shared" si="36"/>
        <v>55.619999999999976</v>
      </c>
      <c r="M175" s="4" t="str">
        <f t="shared" si="37"/>
        <v>Aug</v>
      </c>
      <c r="N175" s="2" t="str">
        <f t="shared" si="38"/>
        <v>2024</v>
      </c>
      <c r="O175" s="2" t="str">
        <f t="shared" si="39"/>
        <v>Aug-2024</v>
      </c>
      <c r="P175" s="6">
        <f t="shared" si="40"/>
        <v>0.21593291404612153</v>
      </c>
      <c r="Q175" s="3">
        <f t="shared" si="41"/>
        <v>257.58</v>
      </c>
      <c r="R175" s="2" t="str">
        <f>IF(Table1[[#This Row],[Profit]]&gt;500,"Yes","No")</f>
        <v>No</v>
      </c>
    </row>
    <row r="176" spans="1:18" x14ac:dyDescent="0.35">
      <c r="A176" s="9" t="s">
        <v>277</v>
      </c>
      <c r="B176" s="4">
        <v>45528</v>
      </c>
      <c r="C176" s="2" t="s">
        <v>77</v>
      </c>
      <c r="D176" s="2">
        <v>3229</v>
      </c>
      <c r="E176" s="2" t="s">
        <v>24</v>
      </c>
      <c r="F176" s="2" t="s">
        <v>15</v>
      </c>
      <c r="G176" s="2" t="s">
        <v>36</v>
      </c>
      <c r="H176" s="5">
        <v>3</v>
      </c>
      <c r="I176" s="3">
        <v>43.04</v>
      </c>
      <c r="J176" s="3">
        <f t="shared" si="35"/>
        <v>129.12</v>
      </c>
      <c r="K176" s="3">
        <v>79.23</v>
      </c>
      <c r="L176" s="3">
        <f t="shared" si="36"/>
        <v>49.89</v>
      </c>
      <c r="M176" s="4" t="str">
        <f t="shared" si="37"/>
        <v>Aug</v>
      </c>
      <c r="N176" s="2" t="str">
        <f t="shared" si="38"/>
        <v>2024</v>
      </c>
      <c r="O176" s="2" t="str">
        <f t="shared" si="39"/>
        <v>Aug-2024</v>
      </c>
      <c r="P176" s="6">
        <f t="shared" si="40"/>
        <v>0.38638475836431224</v>
      </c>
      <c r="Q176" s="3">
        <f t="shared" si="41"/>
        <v>43.04</v>
      </c>
      <c r="R176" s="2" t="str">
        <f>IF(Table1[[#This Row],[Profit]]&gt;500,"Yes","No")</f>
        <v>No</v>
      </c>
    </row>
    <row r="177" spans="1:18" x14ac:dyDescent="0.35">
      <c r="A177" s="9" t="s">
        <v>263</v>
      </c>
      <c r="B177" s="4">
        <v>45527</v>
      </c>
      <c r="C177" s="2" t="s">
        <v>63</v>
      </c>
      <c r="D177" s="2">
        <v>1593</v>
      </c>
      <c r="E177" s="2" t="s">
        <v>17</v>
      </c>
      <c r="F177" s="2" t="s">
        <v>15</v>
      </c>
      <c r="G177" s="2" t="s">
        <v>32</v>
      </c>
      <c r="H177" s="5">
        <v>10</v>
      </c>
      <c r="I177" s="3">
        <v>256.19</v>
      </c>
      <c r="J177" s="3">
        <f t="shared" si="35"/>
        <v>2561.9</v>
      </c>
      <c r="K177" s="3">
        <v>2070.4899999999998</v>
      </c>
      <c r="L177" s="3">
        <f t="shared" si="36"/>
        <v>491.41000000000031</v>
      </c>
      <c r="M177" s="4" t="str">
        <f t="shared" si="37"/>
        <v>Aug</v>
      </c>
      <c r="N177" s="2" t="str">
        <f t="shared" si="38"/>
        <v>2024</v>
      </c>
      <c r="O177" s="2" t="str">
        <f t="shared" si="39"/>
        <v>Aug-2024</v>
      </c>
      <c r="P177" s="6">
        <f t="shared" si="40"/>
        <v>0.19181466880049974</v>
      </c>
      <c r="Q177" s="3">
        <f t="shared" si="41"/>
        <v>256.19</v>
      </c>
      <c r="R177" s="2" t="str">
        <f>IF(Table1[[#This Row],[Profit]]&gt;500,"Yes","No")</f>
        <v>No</v>
      </c>
    </row>
    <row r="178" spans="1:18" x14ac:dyDescent="0.35">
      <c r="A178" s="9" t="s">
        <v>264</v>
      </c>
      <c r="B178" s="4">
        <v>45524</v>
      </c>
      <c r="C178" s="2" t="s">
        <v>64</v>
      </c>
      <c r="D178" s="2">
        <v>5250</v>
      </c>
      <c r="E178" s="2" t="s">
        <v>13</v>
      </c>
      <c r="F178" s="2" t="s">
        <v>25</v>
      </c>
      <c r="G178" s="2" t="s">
        <v>33</v>
      </c>
      <c r="H178" s="5">
        <v>9</v>
      </c>
      <c r="I178" s="3">
        <v>385.61</v>
      </c>
      <c r="J178" s="3">
        <f t="shared" si="35"/>
        <v>3470.4900000000002</v>
      </c>
      <c r="K178" s="3">
        <v>2848.42</v>
      </c>
      <c r="L178" s="3">
        <f t="shared" si="36"/>
        <v>622.07000000000016</v>
      </c>
      <c r="M178" s="4" t="str">
        <f t="shared" si="37"/>
        <v>Aug</v>
      </c>
      <c r="N178" s="2" t="str">
        <f t="shared" si="38"/>
        <v>2024</v>
      </c>
      <c r="O178" s="2" t="str">
        <f t="shared" si="39"/>
        <v>Aug-2024</v>
      </c>
      <c r="P178" s="6">
        <f t="shared" si="40"/>
        <v>0.17924558203596613</v>
      </c>
      <c r="Q178" s="3">
        <f t="shared" si="41"/>
        <v>385.61</v>
      </c>
      <c r="R178" s="2" t="str">
        <f>IF(Table1[[#This Row],[Profit]]&gt;500,"Yes","No")</f>
        <v>Yes</v>
      </c>
    </row>
    <row r="179" spans="1:18" x14ac:dyDescent="0.35">
      <c r="A179" s="9" t="s">
        <v>287</v>
      </c>
      <c r="B179" s="4">
        <v>45522</v>
      </c>
      <c r="C179" s="2" t="s">
        <v>87</v>
      </c>
      <c r="D179" s="2">
        <v>3426</v>
      </c>
      <c r="E179" s="2" t="s">
        <v>24</v>
      </c>
      <c r="F179" s="2" t="s">
        <v>15</v>
      </c>
      <c r="G179" s="2" t="s">
        <v>19</v>
      </c>
      <c r="H179" s="5">
        <v>6</v>
      </c>
      <c r="I179" s="3">
        <v>16.86</v>
      </c>
      <c r="J179" s="3">
        <f t="shared" si="35"/>
        <v>101.16</v>
      </c>
      <c r="K179" s="3">
        <v>89.63</v>
      </c>
      <c r="L179" s="3">
        <f t="shared" si="36"/>
        <v>11.530000000000001</v>
      </c>
      <c r="M179" s="4" t="str">
        <f t="shared" si="37"/>
        <v>Aug</v>
      </c>
      <c r="N179" s="2" t="str">
        <f t="shared" si="38"/>
        <v>2024</v>
      </c>
      <c r="O179" s="2" t="str">
        <f t="shared" si="39"/>
        <v>Aug-2024</v>
      </c>
      <c r="P179" s="6">
        <f t="shared" si="40"/>
        <v>0.11397785686041915</v>
      </c>
      <c r="Q179" s="3">
        <f t="shared" si="41"/>
        <v>16.86</v>
      </c>
      <c r="R179" s="2" t="str">
        <f>IF(Table1[[#This Row],[Profit]]&gt;500,"Yes","No")</f>
        <v>No</v>
      </c>
    </row>
    <row r="180" spans="1:18" x14ac:dyDescent="0.35">
      <c r="A180" s="9" t="s">
        <v>361</v>
      </c>
      <c r="B180" s="4">
        <v>45521</v>
      </c>
      <c r="C180" s="2" t="s">
        <v>161</v>
      </c>
      <c r="D180" s="2">
        <v>5125</v>
      </c>
      <c r="E180" s="2" t="s">
        <v>10</v>
      </c>
      <c r="F180" s="2" t="s">
        <v>20</v>
      </c>
      <c r="G180" s="2" t="s">
        <v>35</v>
      </c>
      <c r="H180" s="5">
        <v>1</v>
      </c>
      <c r="I180" s="3">
        <v>49.41</v>
      </c>
      <c r="J180" s="3">
        <f t="shared" si="35"/>
        <v>49.41</v>
      </c>
      <c r="K180" s="3">
        <v>39.68</v>
      </c>
      <c r="L180" s="3">
        <f t="shared" si="36"/>
        <v>9.7299999999999969</v>
      </c>
      <c r="M180" s="4" t="str">
        <f t="shared" si="37"/>
        <v>Aug</v>
      </c>
      <c r="N180" s="2" t="str">
        <f t="shared" si="38"/>
        <v>2024</v>
      </c>
      <c r="O180" s="2" t="str">
        <f t="shared" si="39"/>
        <v>Aug-2024</v>
      </c>
      <c r="P180" s="6">
        <f t="shared" si="40"/>
        <v>0.19692369965594003</v>
      </c>
      <c r="Q180" s="3">
        <f t="shared" si="41"/>
        <v>49.41</v>
      </c>
      <c r="R180" s="2" t="str">
        <f>IF(Table1[[#This Row],[Profit]]&gt;500,"Yes","No")</f>
        <v>No</v>
      </c>
    </row>
    <row r="181" spans="1:18" x14ac:dyDescent="0.35">
      <c r="A181" s="9" t="s">
        <v>380</v>
      </c>
      <c r="B181" s="4">
        <v>45521</v>
      </c>
      <c r="C181" s="2" t="s">
        <v>180</v>
      </c>
      <c r="D181" s="2">
        <v>6221</v>
      </c>
      <c r="E181" s="2" t="s">
        <v>17</v>
      </c>
      <c r="F181" s="2" t="s">
        <v>15</v>
      </c>
      <c r="G181" s="2" t="s">
        <v>16</v>
      </c>
      <c r="H181" s="5">
        <v>5</v>
      </c>
      <c r="I181" s="3">
        <v>10.78</v>
      </c>
      <c r="J181" s="3">
        <f t="shared" si="35"/>
        <v>53.9</v>
      </c>
      <c r="K181" s="3">
        <v>36.200000000000003</v>
      </c>
      <c r="L181" s="3">
        <f t="shared" si="36"/>
        <v>17.699999999999996</v>
      </c>
      <c r="M181" s="4" t="str">
        <f t="shared" si="37"/>
        <v>Aug</v>
      </c>
      <c r="N181" s="2" t="str">
        <f t="shared" si="38"/>
        <v>2024</v>
      </c>
      <c r="O181" s="2" t="str">
        <f t="shared" si="39"/>
        <v>Aug-2024</v>
      </c>
      <c r="P181" s="6">
        <f t="shared" si="40"/>
        <v>0.32838589981447119</v>
      </c>
      <c r="Q181" s="3">
        <f t="shared" si="41"/>
        <v>10.78</v>
      </c>
      <c r="R181" s="2" t="str">
        <f>IF(Table1[[#This Row],[Profit]]&gt;500,"Yes","No")</f>
        <v>No</v>
      </c>
    </row>
    <row r="182" spans="1:18" x14ac:dyDescent="0.35">
      <c r="A182" s="9" t="s">
        <v>403</v>
      </c>
      <c r="B182" s="4">
        <v>45520</v>
      </c>
      <c r="C182" s="2" t="s">
        <v>203</v>
      </c>
      <c r="D182" s="2">
        <v>7126</v>
      </c>
      <c r="E182" s="2" t="s">
        <v>17</v>
      </c>
      <c r="F182" s="2" t="s">
        <v>15</v>
      </c>
      <c r="G182" s="2" t="s">
        <v>16</v>
      </c>
      <c r="H182" s="5">
        <v>1</v>
      </c>
      <c r="I182" s="3">
        <v>216.38</v>
      </c>
      <c r="J182" s="3">
        <f t="shared" si="35"/>
        <v>216.38</v>
      </c>
      <c r="K182" s="3">
        <v>170.74</v>
      </c>
      <c r="L182" s="3">
        <f t="shared" si="36"/>
        <v>45.639999999999986</v>
      </c>
      <c r="M182" s="4" t="str">
        <f t="shared" si="37"/>
        <v>Aug</v>
      </c>
      <c r="N182" s="2" t="str">
        <f t="shared" si="38"/>
        <v>2024</v>
      </c>
      <c r="O182" s="2" t="str">
        <f t="shared" si="39"/>
        <v>Aug-2024</v>
      </c>
      <c r="P182" s="6">
        <f t="shared" si="40"/>
        <v>0.21092522414271184</v>
      </c>
      <c r="Q182" s="3">
        <f t="shared" si="41"/>
        <v>216.38</v>
      </c>
      <c r="R182" s="2" t="str">
        <f>IF(Table1[[#This Row],[Profit]]&gt;500,"Yes","No")</f>
        <v>No</v>
      </c>
    </row>
    <row r="183" spans="1:18" x14ac:dyDescent="0.35">
      <c r="A183" s="9" t="s">
        <v>275</v>
      </c>
      <c r="B183" s="4">
        <v>45518</v>
      </c>
      <c r="C183" s="2" t="s">
        <v>75</v>
      </c>
      <c r="D183" s="2">
        <v>2822</v>
      </c>
      <c r="E183" s="2" t="s">
        <v>10</v>
      </c>
      <c r="F183" s="2" t="s">
        <v>440</v>
      </c>
      <c r="G183" s="2" t="s">
        <v>35</v>
      </c>
      <c r="H183" s="5">
        <v>5</v>
      </c>
      <c r="I183" s="3">
        <v>404.57</v>
      </c>
      <c r="J183" s="3">
        <f t="shared" si="35"/>
        <v>2022.85</v>
      </c>
      <c r="K183" s="3">
        <v>1539.14</v>
      </c>
      <c r="L183" s="3">
        <f t="shared" si="36"/>
        <v>483.70999999999981</v>
      </c>
      <c r="M183" s="4" t="str">
        <f t="shared" si="37"/>
        <v>Aug</v>
      </c>
      <c r="N183" s="2" t="str">
        <f t="shared" si="38"/>
        <v>2024</v>
      </c>
      <c r="O183" s="2" t="str">
        <f t="shared" si="39"/>
        <v>Aug-2024</v>
      </c>
      <c r="P183" s="6">
        <f t="shared" si="40"/>
        <v>0.23912301950218742</v>
      </c>
      <c r="Q183" s="3">
        <f t="shared" si="41"/>
        <v>404.57</v>
      </c>
      <c r="R183" s="2" t="str">
        <f>IF(Table1[[#This Row],[Profit]]&gt;500,"Yes","No")</f>
        <v>No</v>
      </c>
    </row>
    <row r="184" spans="1:18" x14ac:dyDescent="0.35">
      <c r="A184" s="9" t="s">
        <v>399</v>
      </c>
      <c r="B184" s="4">
        <v>45518</v>
      </c>
      <c r="C184" s="2" t="s">
        <v>199</v>
      </c>
      <c r="D184" s="2">
        <v>9207</v>
      </c>
      <c r="E184" s="2" t="s">
        <v>17</v>
      </c>
      <c r="F184" s="2" t="s">
        <v>15</v>
      </c>
      <c r="G184" s="2" t="s">
        <v>16</v>
      </c>
      <c r="H184" s="5">
        <v>9</v>
      </c>
      <c r="I184" s="3">
        <v>463.78</v>
      </c>
      <c r="J184" s="3">
        <f t="shared" si="35"/>
        <v>4174.0199999999995</v>
      </c>
      <c r="K184" s="3">
        <v>3633.7</v>
      </c>
      <c r="L184" s="3">
        <f t="shared" si="36"/>
        <v>540.31999999999971</v>
      </c>
      <c r="M184" s="4" t="str">
        <f t="shared" si="37"/>
        <v>Aug</v>
      </c>
      <c r="N184" s="2" t="str">
        <f t="shared" si="38"/>
        <v>2024</v>
      </c>
      <c r="O184" s="2" t="str">
        <f t="shared" si="39"/>
        <v>Aug-2024</v>
      </c>
      <c r="P184" s="6">
        <f t="shared" si="40"/>
        <v>0.12944834955270931</v>
      </c>
      <c r="Q184" s="3">
        <f t="shared" si="41"/>
        <v>463.78</v>
      </c>
      <c r="R184" s="2" t="str">
        <f>IF(Table1[[#This Row],[Profit]]&gt;500,"Yes","No")</f>
        <v>Yes</v>
      </c>
    </row>
    <row r="185" spans="1:18" x14ac:dyDescent="0.35">
      <c r="A185" s="9" t="s">
        <v>392</v>
      </c>
      <c r="B185" s="4">
        <v>45516</v>
      </c>
      <c r="C185" s="2" t="s">
        <v>192</v>
      </c>
      <c r="D185" s="2">
        <v>1294</v>
      </c>
      <c r="E185" s="2" t="s">
        <v>10</v>
      </c>
      <c r="F185" s="2" t="s">
        <v>20</v>
      </c>
      <c r="G185" s="2" t="s">
        <v>31</v>
      </c>
      <c r="H185" s="5">
        <v>1</v>
      </c>
      <c r="I185" s="3">
        <v>40.340000000000003</v>
      </c>
      <c r="J185" s="3">
        <f t="shared" si="35"/>
        <v>40.340000000000003</v>
      </c>
      <c r="K185" s="3">
        <v>33.71</v>
      </c>
      <c r="L185" s="3">
        <f t="shared" si="36"/>
        <v>6.6300000000000026</v>
      </c>
      <c r="M185" s="4" t="str">
        <f t="shared" si="37"/>
        <v>Aug</v>
      </c>
      <c r="N185" s="2" t="str">
        <f t="shared" si="38"/>
        <v>2024</v>
      </c>
      <c r="O185" s="2" t="str">
        <f t="shared" si="39"/>
        <v>Aug-2024</v>
      </c>
      <c r="P185" s="6">
        <f t="shared" si="40"/>
        <v>0.16435299950421423</v>
      </c>
      <c r="Q185" s="3">
        <f t="shared" si="41"/>
        <v>40.340000000000003</v>
      </c>
      <c r="R185" s="2" t="str">
        <f>IF(Table1[[#This Row],[Profit]]&gt;500,"Yes","No")</f>
        <v>No</v>
      </c>
    </row>
    <row r="186" spans="1:18" x14ac:dyDescent="0.35">
      <c r="A186" s="9" t="s">
        <v>302</v>
      </c>
      <c r="B186" s="4">
        <v>45514</v>
      </c>
      <c r="C186" s="2" t="s">
        <v>102</v>
      </c>
      <c r="D186" s="2">
        <v>1468</v>
      </c>
      <c r="E186" s="2" t="s">
        <v>17</v>
      </c>
      <c r="F186" s="2" t="s">
        <v>20</v>
      </c>
      <c r="G186" s="2" t="s">
        <v>21</v>
      </c>
      <c r="H186" s="5">
        <v>2</v>
      </c>
      <c r="I186" s="3">
        <v>407.3</v>
      </c>
      <c r="J186" s="3">
        <f t="shared" si="35"/>
        <v>814.6</v>
      </c>
      <c r="K186" s="3">
        <v>491.74</v>
      </c>
      <c r="L186" s="3">
        <f t="shared" si="36"/>
        <v>322.86</v>
      </c>
      <c r="M186" s="4" t="str">
        <f t="shared" si="37"/>
        <v>Aug</v>
      </c>
      <c r="N186" s="2" t="str">
        <f t="shared" si="38"/>
        <v>2024</v>
      </c>
      <c r="O186" s="2" t="str">
        <f t="shared" si="39"/>
        <v>Aug-2024</v>
      </c>
      <c r="P186" s="6">
        <f t="shared" si="40"/>
        <v>0.39634176282838202</v>
      </c>
      <c r="Q186" s="3">
        <f t="shared" si="41"/>
        <v>407.3</v>
      </c>
      <c r="R186" s="2" t="str">
        <f>IF(Table1[[#This Row],[Profit]]&gt;500,"Yes","No")</f>
        <v>No</v>
      </c>
    </row>
    <row r="187" spans="1:18" x14ac:dyDescent="0.35">
      <c r="A187" s="9" t="s">
        <v>271</v>
      </c>
      <c r="B187" s="4">
        <v>45512</v>
      </c>
      <c r="C187" s="2" t="s">
        <v>71</v>
      </c>
      <c r="D187" s="2">
        <v>8385</v>
      </c>
      <c r="E187" s="2" t="s">
        <v>10</v>
      </c>
      <c r="F187" s="2" t="s">
        <v>20</v>
      </c>
      <c r="G187" s="2" t="s">
        <v>21</v>
      </c>
      <c r="H187" s="5">
        <v>9</v>
      </c>
      <c r="I187" s="3">
        <v>327.04000000000002</v>
      </c>
      <c r="J187" s="3">
        <f t="shared" si="35"/>
        <v>2943.36</v>
      </c>
      <c r="K187" s="3">
        <v>1928.08</v>
      </c>
      <c r="L187" s="3">
        <f t="shared" si="36"/>
        <v>1015.2800000000002</v>
      </c>
      <c r="M187" s="4" t="str">
        <f t="shared" si="37"/>
        <v>Aug</v>
      </c>
      <c r="N187" s="2" t="str">
        <f t="shared" si="38"/>
        <v>2024</v>
      </c>
      <c r="O187" s="2" t="str">
        <f t="shared" si="39"/>
        <v>Aug-2024</v>
      </c>
      <c r="P187" s="6">
        <f t="shared" si="40"/>
        <v>0.34493911719939124</v>
      </c>
      <c r="Q187" s="3">
        <f t="shared" si="41"/>
        <v>327.04000000000002</v>
      </c>
      <c r="R187" s="2" t="str">
        <f>IF(Table1[[#This Row],[Profit]]&gt;500,"Yes","No")</f>
        <v>Yes</v>
      </c>
    </row>
    <row r="188" spans="1:18" x14ac:dyDescent="0.35">
      <c r="A188" s="9" t="s">
        <v>424</v>
      </c>
      <c r="B188" s="4">
        <v>45512</v>
      </c>
      <c r="C188" s="2" t="s">
        <v>224</v>
      </c>
      <c r="D188" s="2">
        <v>9587</v>
      </c>
      <c r="E188" s="2" t="s">
        <v>24</v>
      </c>
      <c r="F188" s="2" t="s">
        <v>15</v>
      </c>
      <c r="G188" s="2" t="s">
        <v>36</v>
      </c>
      <c r="H188" s="5">
        <v>3</v>
      </c>
      <c r="I188" s="3">
        <v>43.62</v>
      </c>
      <c r="J188" s="3">
        <f t="shared" si="35"/>
        <v>130.85999999999999</v>
      </c>
      <c r="K188" s="3">
        <v>93.33</v>
      </c>
      <c r="L188" s="3">
        <f t="shared" si="36"/>
        <v>37.529999999999987</v>
      </c>
      <c r="M188" s="4" t="str">
        <f t="shared" si="37"/>
        <v>Aug</v>
      </c>
      <c r="N188" s="2" t="str">
        <f t="shared" si="38"/>
        <v>2024</v>
      </c>
      <c r="O188" s="2" t="str">
        <f t="shared" si="39"/>
        <v>Aug-2024</v>
      </c>
      <c r="P188" s="6">
        <f t="shared" si="40"/>
        <v>0.28679504814305357</v>
      </c>
      <c r="Q188" s="3">
        <f t="shared" si="41"/>
        <v>43.62</v>
      </c>
      <c r="R188" s="2" t="str">
        <f>IF(Table1[[#This Row],[Profit]]&gt;500,"Yes","No")</f>
        <v>No</v>
      </c>
    </row>
    <row r="189" spans="1:18" x14ac:dyDescent="0.35">
      <c r="A189" s="9" t="s">
        <v>295</v>
      </c>
      <c r="B189" s="4">
        <v>45508</v>
      </c>
      <c r="C189" s="2" t="s">
        <v>95</v>
      </c>
      <c r="D189" s="2">
        <v>1456</v>
      </c>
      <c r="E189" s="2" t="s">
        <v>17</v>
      </c>
      <c r="F189" s="2" t="s">
        <v>15</v>
      </c>
      <c r="G189" s="2" t="s">
        <v>19</v>
      </c>
      <c r="H189" s="5">
        <v>10</v>
      </c>
      <c r="I189" s="3">
        <v>298.58999999999997</v>
      </c>
      <c r="J189" s="3">
        <f t="shared" si="35"/>
        <v>2985.8999999999996</v>
      </c>
      <c r="K189" s="3">
        <v>1819.08</v>
      </c>
      <c r="L189" s="3">
        <f t="shared" si="36"/>
        <v>1166.8199999999997</v>
      </c>
      <c r="M189" s="4" t="str">
        <f t="shared" si="37"/>
        <v>Aug</v>
      </c>
      <c r="N189" s="2" t="str">
        <f t="shared" si="38"/>
        <v>2024</v>
      </c>
      <c r="O189" s="2" t="str">
        <f t="shared" si="39"/>
        <v>Aug-2024</v>
      </c>
      <c r="P189" s="6">
        <f t="shared" si="40"/>
        <v>0.39077665025620412</v>
      </c>
      <c r="Q189" s="3">
        <f t="shared" si="41"/>
        <v>298.58999999999997</v>
      </c>
      <c r="R189" s="2" t="str">
        <f>IF(Table1[[#This Row],[Profit]]&gt;500,"Yes","No")</f>
        <v>Yes</v>
      </c>
    </row>
    <row r="190" spans="1:18" x14ac:dyDescent="0.35">
      <c r="A190" s="9" t="s">
        <v>423</v>
      </c>
      <c r="B190" s="4">
        <v>45508</v>
      </c>
      <c r="C190" s="2" t="s">
        <v>223</v>
      </c>
      <c r="D190" s="2">
        <v>4385</v>
      </c>
      <c r="E190" s="2" t="s">
        <v>10</v>
      </c>
      <c r="F190" s="2" t="s">
        <v>20</v>
      </c>
      <c r="G190" s="2" t="s">
        <v>31</v>
      </c>
      <c r="H190" s="5">
        <v>5</v>
      </c>
      <c r="I190" s="3">
        <v>330.77</v>
      </c>
      <c r="J190" s="3">
        <f t="shared" si="35"/>
        <v>1653.85</v>
      </c>
      <c r="K190" s="3">
        <v>1032.9000000000001</v>
      </c>
      <c r="L190" s="3">
        <f t="shared" si="36"/>
        <v>620.94999999999982</v>
      </c>
      <c r="M190" s="4" t="str">
        <f t="shared" si="37"/>
        <v>Aug</v>
      </c>
      <c r="N190" s="2" t="str">
        <f t="shared" si="38"/>
        <v>2024</v>
      </c>
      <c r="O190" s="2" t="str">
        <f t="shared" si="39"/>
        <v>Aug-2024</v>
      </c>
      <c r="P190" s="6">
        <f t="shared" si="40"/>
        <v>0.37545726637845017</v>
      </c>
      <c r="Q190" s="3">
        <f t="shared" si="41"/>
        <v>330.77</v>
      </c>
      <c r="R190" s="2" t="str">
        <f>IF(Table1[[#This Row],[Profit]]&gt;500,"Yes","No")</f>
        <v>Yes</v>
      </c>
    </row>
    <row r="191" spans="1:18" x14ac:dyDescent="0.35">
      <c r="A191" s="9" t="s">
        <v>303</v>
      </c>
      <c r="B191" s="4">
        <v>45504</v>
      </c>
      <c r="C191" s="2" t="s">
        <v>103</v>
      </c>
      <c r="D191" s="2">
        <v>8597</v>
      </c>
      <c r="E191" s="2" t="s">
        <v>13</v>
      </c>
      <c r="F191" s="2" t="s">
        <v>15</v>
      </c>
      <c r="G191" s="2" t="s">
        <v>36</v>
      </c>
      <c r="H191" s="5">
        <v>2</v>
      </c>
      <c r="I191" s="3">
        <v>463.81</v>
      </c>
      <c r="J191" s="3">
        <f t="shared" si="35"/>
        <v>927.62</v>
      </c>
      <c r="K191" s="3">
        <v>591.30999999999995</v>
      </c>
      <c r="L191" s="3">
        <f t="shared" si="36"/>
        <v>336.31000000000006</v>
      </c>
      <c r="M191" s="4" t="str">
        <f t="shared" si="37"/>
        <v>Jul</v>
      </c>
      <c r="N191" s="2" t="str">
        <f t="shared" si="38"/>
        <v>2024</v>
      </c>
      <c r="O191" s="2" t="str">
        <f t="shared" si="39"/>
        <v>Jul-2024</v>
      </c>
      <c r="P191" s="6">
        <f t="shared" si="40"/>
        <v>0.3625514758198401</v>
      </c>
      <c r="Q191" s="3">
        <f t="shared" si="41"/>
        <v>463.81</v>
      </c>
      <c r="R191" s="2" t="str">
        <f>IF(Table1[[#This Row],[Profit]]&gt;500,"Yes","No")</f>
        <v>No</v>
      </c>
    </row>
    <row r="192" spans="1:18" x14ac:dyDescent="0.35">
      <c r="A192" s="9" t="s">
        <v>336</v>
      </c>
      <c r="B192" s="4">
        <v>45504</v>
      </c>
      <c r="C192" s="2" t="s">
        <v>136</v>
      </c>
      <c r="D192" s="2">
        <v>5262</v>
      </c>
      <c r="E192" s="2" t="s">
        <v>13</v>
      </c>
      <c r="F192" s="2" t="s">
        <v>15</v>
      </c>
      <c r="G192" s="2" t="s">
        <v>19</v>
      </c>
      <c r="H192" s="5">
        <v>9</v>
      </c>
      <c r="I192" s="3">
        <v>443.14</v>
      </c>
      <c r="J192" s="3">
        <f t="shared" si="35"/>
        <v>3988.2599999999998</v>
      </c>
      <c r="K192" s="3">
        <v>3364.08</v>
      </c>
      <c r="L192" s="3">
        <f t="shared" si="36"/>
        <v>624.17999999999984</v>
      </c>
      <c r="M192" s="4" t="str">
        <f t="shared" si="37"/>
        <v>Jul</v>
      </c>
      <c r="N192" s="2" t="str">
        <f t="shared" si="38"/>
        <v>2024</v>
      </c>
      <c r="O192" s="2" t="str">
        <f t="shared" si="39"/>
        <v>Jul-2024</v>
      </c>
      <c r="P192" s="6">
        <f t="shared" si="40"/>
        <v>0.15650434023860027</v>
      </c>
      <c r="Q192" s="3">
        <f t="shared" si="41"/>
        <v>443.14</v>
      </c>
      <c r="R192" s="2" t="str">
        <f>IF(Table1[[#This Row],[Profit]]&gt;500,"Yes","No")</f>
        <v>Yes</v>
      </c>
    </row>
    <row r="193" spans="1:18" x14ac:dyDescent="0.35">
      <c r="A193" s="9" t="s">
        <v>395</v>
      </c>
      <c r="B193" s="4">
        <v>45504</v>
      </c>
      <c r="C193" s="2" t="s">
        <v>195</v>
      </c>
      <c r="D193" s="2">
        <v>5232</v>
      </c>
      <c r="E193" s="2" t="s">
        <v>24</v>
      </c>
      <c r="F193" s="2" t="s">
        <v>25</v>
      </c>
      <c r="G193" s="2" t="s">
        <v>33</v>
      </c>
      <c r="H193" s="5">
        <v>1</v>
      </c>
      <c r="I193" s="3">
        <v>144.62</v>
      </c>
      <c r="J193" s="3">
        <f t="shared" si="35"/>
        <v>144.62</v>
      </c>
      <c r="K193" s="3">
        <v>102.76</v>
      </c>
      <c r="L193" s="3">
        <f t="shared" si="36"/>
        <v>41.86</v>
      </c>
      <c r="M193" s="4" t="str">
        <f t="shared" si="37"/>
        <v>Jul</v>
      </c>
      <c r="N193" s="2" t="str">
        <f t="shared" si="38"/>
        <v>2024</v>
      </c>
      <c r="O193" s="2" t="str">
        <f t="shared" si="39"/>
        <v>Jul-2024</v>
      </c>
      <c r="P193" s="6">
        <f t="shared" si="40"/>
        <v>0.28944820909970959</v>
      </c>
      <c r="Q193" s="3">
        <f t="shared" si="41"/>
        <v>144.62</v>
      </c>
      <c r="R193" s="2" t="str">
        <f>IF(Table1[[#This Row],[Profit]]&gt;500,"Yes","No")</f>
        <v>No</v>
      </c>
    </row>
    <row r="194" spans="1:18" x14ac:dyDescent="0.35">
      <c r="A194" s="9" t="s">
        <v>411</v>
      </c>
      <c r="B194" s="4">
        <v>45503</v>
      </c>
      <c r="C194" s="2" t="s">
        <v>211</v>
      </c>
      <c r="D194" s="2">
        <v>5831</v>
      </c>
      <c r="E194" s="2" t="s">
        <v>17</v>
      </c>
      <c r="F194" s="2" t="s">
        <v>20</v>
      </c>
      <c r="G194" s="2" t="s">
        <v>35</v>
      </c>
      <c r="H194" s="5">
        <v>1</v>
      </c>
      <c r="I194" s="3">
        <v>427.72</v>
      </c>
      <c r="J194" s="3">
        <f t="shared" ref="J194:J201" si="42">H194*I194</f>
        <v>427.72</v>
      </c>
      <c r="K194" s="3">
        <v>271.77</v>
      </c>
      <c r="L194" s="3">
        <f t="shared" ref="L194:L201" si="43">J194-K194</f>
        <v>155.95000000000005</v>
      </c>
      <c r="M194" s="4" t="str">
        <f t="shared" ref="M194:M201" si="44">TEXT(B194,"MMM")</f>
        <v>Jul</v>
      </c>
      <c r="N194" s="2" t="str">
        <f t="shared" ref="N194:N201" si="45">TEXT(B194,"YYYY")</f>
        <v>2024</v>
      </c>
      <c r="O194" s="2" t="str">
        <f t="shared" ref="O194:O201" si="46">TEXT(B194,"mmm-yyyy")</f>
        <v>Jul-2024</v>
      </c>
      <c r="P194" s="6">
        <f t="shared" ref="P194:P201" si="47">IF(H194=0,0,(L194/J194))</f>
        <v>0.36460768727204723</v>
      </c>
      <c r="Q194" s="3">
        <f t="shared" ref="Q194:Q201" si="48">J194/H194</f>
        <v>427.72</v>
      </c>
      <c r="R194" s="2" t="str">
        <f>IF(Table1[[#This Row],[Profit]]&gt;500,"Yes","No")</f>
        <v>No</v>
      </c>
    </row>
    <row r="195" spans="1:18" x14ac:dyDescent="0.35">
      <c r="A195" s="9" t="s">
        <v>288</v>
      </c>
      <c r="B195" s="4">
        <v>45501</v>
      </c>
      <c r="C195" s="2" t="s">
        <v>88</v>
      </c>
      <c r="D195" s="2">
        <v>3277</v>
      </c>
      <c r="E195" s="2" t="s">
        <v>10</v>
      </c>
      <c r="F195" s="2" t="s">
        <v>15</v>
      </c>
      <c r="G195" s="2" t="s">
        <v>16</v>
      </c>
      <c r="H195" s="5">
        <v>5</v>
      </c>
      <c r="I195" s="3">
        <v>167.96</v>
      </c>
      <c r="J195" s="3">
        <f t="shared" si="42"/>
        <v>839.80000000000007</v>
      </c>
      <c r="K195" s="3">
        <v>668.18</v>
      </c>
      <c r="L195" s="3">
        <f t="shared" si="43"/>
        <v>171.62000000000012</v>
      </c>
      <c r="M195" s="4" t="str">
        <f t="shared" si="44"/>
        <v>Jul</v>
      </c>
      <c r="N195" s="2" t="str">
        <f t="shared" si="45"/>
        <v>2024</v>
      </c>
      <c r="O195" s="2" t="str">
        <f t="shared" si="46"/>
        <v>Jul-2024</v>
      </c>
      <c r="P195" s="6">
        <f t="shared" si="47"/>
        <v>0.20435818051917135</v>
      </c>
      <c r="Q195" s="3">
        <f t="shared" si="48"/>
        <v>167.96</v>
      </c>
      <c r="R195" s="2" t="str">
        <f>IF(Table1[[#This Row],[Profit]]&gt;500,"Yes","No")</f>
        <v>No</v>
      </c>
    </row>
    <row r="196" spans="1:18" x14ac:dyDescent="0.35">
      <c r="A196" s="9" t="s">
        <v>247</v>
      </c>
      <c r="B196" s="4">
        <v>45500</v>
      </c>
      <c r="C196" s="2" t="s">
        <v>47</v>
      </c>
      <c r="D196" s="2">
        <v>6161</v>
      </c>
      <c r="E196" s="2" t="s">
        <v>10</v>
      </c>
      <c r="F196" s="2" t="s">
        <v>20</v>
      </c>
      <c r="G196" s="2" t="s">
        <v>21</v>
      </c>
      <c r="H196" s="5">
        <v>10</v>
      </c>
      <c r="I196" s="3">
        <v>241.31</v>
      </c>
      <c r="J196" s="3">
        <f t="shared" si="42"/>
        <v>2413.1</v>
      </c>
      <c r="K196" s="3">
        <v>1499.01</v>
      </c>
      <c r="L196" s="3">
        <f t="shared" si="43"/>
        <v>914.08999999999992</v>
      </c>
      <c r="M196" s="4" t="str">
        <f t="shared" si="44"/>
        <v>Jul</v>
      </c>
      <c r="N196" s="2" t="str">
        <f t="shared" si="45"/>
        <v>2024</v>
      </c>
      <c r="O196" s="2" t="str">
        <f t="shared" si="46"/>
        <v>Jul-2024</v>
      </c>
      <c r="P196" s="6">
        <f t="shared" si="47"/>
        <v>0.37880319920434297</v>
      </c>
      <c r="Q196" s="3">
        <f t="shared" si="48"/>
        <v>241.31</v>
      </c>
      <c r="R196" s="2" t="str">
        <f>IF(Table1[[#This Row],[Profit]]&gt;500,"Yes","No")</f>
        <v>Yes</v>
      </c>
    </row>
    <row r="197" spans="1:18" x14ac:dyDescent="0.35">
      <c r="A197" s="9" t="s">
        <v>428</v>
      </c>
      <c r="B197" s="4">
        <v>45499</v>
      </c>
      <c r="C197" s="2" t="s">
        <v>228</v>
      </c>
      <c r="D197" s="2">
        <v>2219</v>
      </c>
      <c r="E197" s="2" t="s">
        <v>24</v>
      </c>
      <c r="F197" s="2" t="s">
        <v>22</v>
      </c>
      <c r="G197" s="2" t="s">
        <v>28</v>
      </c>
      <c r="H197" s="5">
        <v>3</v>
      </c>
      <c r="I197" s="3">
        <v>91.4</v>
      </c>
      <c r="J197" s="3">
        <f t="shared" si="42"/>
        <v>274.20000000000005</v>
      </c>
      <c r="K197" s="3">
        <v>210.32</v>
      </c>
      <c r="L197" s="3">
        <f t="shared" si="43"/>
        <v>63.880000000000052</v>
      </c>
      <c r="M197" s="4" t="str">
        <f t="shared" si="44"/>
        <v>Jul</v>
      </c>
      <c r="N197" s="2" t="str">
        <f t="shared" si="45"/>
        <v>2024</v>
      </c>
      <c r="O197" s="2" t="str">
        <f t="shared" si="46"/>
        <v>Jul-2024</v>
      </c>
      <c r="P197" s="6">
        <f t="shared" si="47"/>
        <v>0.2329686360320935</v>
      </c>
      <c r="Q197" s="3">
        <f t="shared" si="48"/>
        <v>91.40000000000002</v>
      </c>
      <c r="R197" s="2" t="str">
        <f>IF(Table1[[#This Row],[Profit]]&gt;500,"Yes","No")</f>
        <v>No</v>
      </c>
    </row>
    <row r="198" spans="1:18" x14ac:dyDescent="0.35">
      <c r="A198" s="9" t="s">
        <v>323</v>
      </c>
      <c r="B198" s="4">
        <v>45497</v>
      </c>
      <c r="C198" s="2" t="s">
        <v>123</v>
      </c>
      <c r="D198" s="2">
        <v>6713</v>
      </c>
      <c r="E198" s="2" t="s">
        <v>13</v>
      </c>
      <c r="F198" s="2" t="s">
        <v>25</v>
      </c>
      <c r="G198" s="2" t="s">
        <v>33</v>
      </c>
      <c r="H198" s="5">
        <v>6</v>
      </c>
      <c r="I198" s="3">
        <v>31.24</v>
      </c>
      <c r="J198" s="3">
        <f t="shared" si="42"/>
        <v>187.44</v>
      </c>
      <c r="K198" s="3">
        <v>136.58000000000001</v>
      </c>
      <c r="L198" s="3">
        <f t="shared" si="43"/>
        <v>50.859999999999985</v>
      </c>
      <c r="M198" s="4" t="str">
        <f t="shared" si="44"/>
        <v>Jul</v>
      </c>
      <c r="N198" s="2" t="str">
        <f t="shared" si="45"/>
        <v>2024</v>
      </c>
      <c r="O198" s="2" t="str">
        <f t="shared" si="46"/>
        <v>Jul-2024</v>
      </c>
      <c r="P198" s="6">
        <f t="shared" si="47"/>
        <v>0.27134016218523255</v>
      </c>
      <c r="Q198" s="3">
        <f t="shared" si="48"/>
        <v>31.24</v>
      </c>
      <c r="R198" s="2" t="str">
        <f>IF(Table1[[#This Row],[Profit]]&gt;500,"Yes","No")</f>
        <v>No</v>
      </c>
    </row>
    <row r="199" spans="1:18" x14ac:dyDescent="0.35">
      <c r="A199" s="9" t="s">
        <v>408</v>
      </c>
      <c r="B199" s="4">
        <v>45496</v>
      </c>
      <c r="C199" s="2" t="s">
        <v>208</v>
      </c>
      <c r="D199" s="2">
        <v>3230</v>
      </c>
      <c r="E199" s="2" t="s">
        <v>17</v>
      </c>
      <c r="F199" s="2" t="s">
        <v>22</v>
      </c>
      <c r="G199" s="2" t="s">
        <v>28</v>
      </c>
      <c r="H199" s="5">
        <v>1</v>
      </c>
      <c r="I199" s="3">
        <v>136.83000000000001</v>
      </c>
      <c r="J199" s="3">
        <f t="shared" si="42"/>
        <v>136.83000000000001</v>
      </c>
      <c r="K199" s="3">
        <v>90.59</v>
      </c>
      <c r="L199" s="3">
        <f t="shared" si="43"/>
        <v>46.240000000000009</v>
      </c>
      <c r="M199" s="4" t="str">
        <f t="shared" si="44"/>
        <v>Jul</v>
      </c>
      <c r="N199" s="2" t="str">
        <f t="shared" si="45"/>
        <v>2024</v>
      </c>
      <c r="O199" s="2" t="str">
        <f t="shared" si="46"/>
        <v>Jul-2024</v>
      </c>
      <c r="P199" s="6">
        <f t="shared" si="47"/>
        <v>0.33793758678652347</v>
      </c>
      <c r="Q199" s="3">
        <f t="shared" si="48"/>
        <v>136.83000000000001</v>
      </c>
      <c r="R199" s="2" t="str">
        <f>IF(Table1[[#This Row],[Profit]]&gt;500,"Yes","No")</f>
        <v>No</v>
      </c>
    </row>
    <row r="200" spans="1:18" x14ac:dyDescent="0.35">
      <c r="A200" s="9" t="s">
        <v>309</v>
      </c>
      <c r="B200" s="4">
        <v>45494</v>
      </c>
      <c r="C200" s="2" t="s">
        <v>109</v>
      </c>
      <c r="D200" s="2">
        <v>1080</v>
      </c>
      <c r="E200" s="2" t="s">
        <v>24</v>
      </c>
      <c r="F200" s="2" t="s">
        <v>11</v>
      </c>
      <c r="G200" s="2" t="s">
        <v>18</v>
      </c>
      <c r="H200" s="5">
        <v>7</v>
      </c>
      <c r="I200" s="3">
        <v>56.01</v>
      </c>
      <c r="J200" s="3">
        <f t="shared" si="42"/>
        <v>392.07</v>
      </c>
      <c r="K200" s="3">
        <v>236.3</v>
      </c>
      <c r="L200" s="3">
        <f t="shared" si="43"/>
        <v>155.76999999999998</v>
      </c>
      <c r="M200" s="4" t="str">
        <f t="shared" si="44"/>
        <v>Jul</v>
      </c>
      <c r="N200" s="2" t="str">
        <f t="shared" si="45"/>
        <v>2024</v>
      </c>
      <c r="O200" s="2" t="str">
        <f t="shared" si="46"/>
        <v>Jul-2024</v>
      </c>
      <c r="P200" s="6">
        <f t="shared" si="47"/>
        <v>0.39730150228275557</v>
      </c>
      <c r="Q200" s="3">
        <f t="shared" si="48"/>
        <v>56.01</v>
      </c>
      <c r="R200" s="2" t="str">
        <f>IF(Table1[[#This Row],[Profit]]&gt;500,"Yes","No")</f>
        <v>No</v>
      </c>
    </row>
    <row r="201" spans="1:18" x14ac:dyDescent="0.35">
      <c r="A201" s="20" t="s">
        <v>243</v>
      </c>
      <c r="B201" s="21">
        <v>44676</v>
      </c>
      <c r="C201" s="22" t="s">
        <v>43</v>
      </c>
      <c r="D201" s="22">
        <v>5745</v>
      </c>
      <c r="E201" s="22" t="s">
        <v>13</v>
      </c>
      <c r="F201" s="22" t="s">
        <v>11</v>
      </c>
      <c r="G201" s="22" t="s">
        <v>18</v>
      </c>
      <c r="H201" s="23">
        <v>4</v>
      </c>
      <c r="I201" s="24">
        <v>222.79</v>
      </c>
      <c r="J201" s="24">
        <f t="shared" si="42"/>
        <v>891.16</v>
      </c>
      <c r="K201" s="24">
        <v>588.65</v>
      </c>
      <c r="L201" s="24">
        <f t="shared" si="43"/>
        <v>302.51</v>
      </c>
      <c r="M201" s="21" t="str">
        <f t="shared" si="44"/>
        <v>Apr</v>
      </c>
      <c r="N201" s="22" t="str">
        <f t="shared" si="45"/>
        <v>2022</v>
      </c>
      <c r="O201" s="22" t="str">
        <f t="shared" si="46"/>
        <v>Apr-2022</v>
      </c>
      <c r="P201" s="25">
        <f t="shared" si="47"/>
        <v>0.33945643879886889</v>
      </c>
      <c r="Q201" s="24">
        <f t="shared" si="48"/>
        <v>222.79</v>
      </c>
      <c r="R201" s="2" t="str">
        <f>IF(Table1[[#This Row],[Profit]]&gt;500,"Yes","No")</f>
        <v>No</v>
      </c>
    </row>
  </sheetData>
  <conditionalFormatting sqref="A1:B1048576">
    <cfRule type="duplicateValues" dxfId="2" priority="3"/>
  </conditionalFormatting>
  <conditionalFormatting sqref="B1:B1048576">
    <cfRule type="duplicateValues" dxfId="1" priority="1"/>
  </conditionalFormatting>
  <conditionalFormatting sqref="N1:N1048576">
    <cfRule type="duplicateValues" dxfId="0" priority="2"/>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F9C1-D8C4-43DD-98CD-B7DC82D958C4}">
  <dimension ref="A1:AI35"/>
  <sheetViews>
    <sheetView topLeftCell="S1" workbookViewId="0">
      <selection activeCell="AB8" sqref="AB8"/>
    </sheetView>
  </sheetViews>
  <sheetFormatPr defaultRowHeight="14.5" x14ac:dyDescent="0.35"/>
  <cols>
    <col min="1" max="1" width="12.36328125" bestFit="1" customWidth="1"/>
    <col min="2" max="2" width="19.08984375" bestFit="1" customWidth="1"/>
    <col min="3" max="3" width="19.26953125" bestFit="1" customWidth="1"/>
    <col min="4" max="4" width="11.26953125" bestFit="1" customWidth="1"/>
    <col min="5" max="5" width="11.81640625" bestFit="1" customWidth="1"/>
    <col min="7" max="7" width="12.36328125" bestFit="1" customWidth="1"/>
    <col min="8" max="8" width="11.26953125" bestFit="1" customWidth="1"/>
    <col min="9" max="9" width="11.81640625" bestFit="1" customWidth="1"/>
    <col min="12" max="12" width="12.36328125" bestFit="1" customWidth="1"/>
    <col min="13" max="13" width="11.26953125" bestFit="1" customWidth="1"/>
    <col min="14" max="15" width="11.81640625" bestFit="1" customWidth="1"/>
    <col min="19" max="19" width="13.08984375" bestFit="1" customWidth="1"/>
    <col min="20" max="20" width="11.26953125" bestFit="1" customWidth="1"/>
    <col min="21" max="22" width="11.81640625" bestFit="1" customWidth="1"/>
    <col min="23" max="23" width="16" bestFit="1" customWidth="1"/>
    <col min="24" max="24" width="11.81640625" bestFit="1" customWidth="1"/>
    <col min="25" max="25" width="11.26953125" bestFit="1" customWidth="1"/>
    <col min="26" max="26" width="14.54296875" bestFit="1" customWidth="1"/>
    <col min="29" max="29" width="14.453125" bestFit="1" customWidth="1"/>
    <col min="30" max="30" width="18.1796875" bestFit="1" customWidth="1"/>
    <col min="34" max="34" width="14.26953125" bestFit="1" customWidth="1"/>
    <col min="35" max="35" width="11.81640625" bestFit="1" customWidth="1"/>
  </cols>
  <sheetData>
    <row r="1" spans="1:35" x14ac:dyDescent="0.35">
      <c r="A1" t="s">
        <v>472</v>
      </c>
      <c r="C1" t="s">
        <v>479</v>
      </c>
      <c r="G1" t="s">
        <v>473</v>
      </c>
      <c r="L1" t="s">
        <v>474</v>
      </c>
      <c r="S1" t="s">
        <v>475</v>
      </c>
      <c r="W1" s="7" t="s">
        <v>476</v>
      </c>
      <c r="X1" t="s">
        <v>478</v>
      </c>
    </row>
    <row r="3" spans="1:35" x14ac:dyDescent="0.35">
      <c r="A3" s="7" t="s">
        <v>448</v>
      </c>
      <c r="B3" t="s">
        <v>480</v>
      </c>
      <c r="C3" t="s">
        <v>471</v>
      </c>
      <c r="D3" t="s">
        <v>450</v>
      </c>
      <c r="E3" t="s">
        <v>465</v>
      </c>
      <c r="G3" s="7" t="s">
        <v>448</v>
      </c>
      <c r="H3" t="s">
        <v>450</v>
      </c>
      <c r="I3" t="s">
        <v>465</v>
      </c>
      <c r="L3" s="7" t="s">
        <v>448</v>
      </c>
      <c r="M3" t="s">
        <v>450</v>
      </c>
      <c r="N3" t="s">
        <v>465</v>
      </c>
      <c r="S3" s="7" t="s">
        <v>448</v>
      </c>
      <c r="T3" t="s">
        <v>450</v>
      </c>
      <c r="W3" s="7" t="s">
        <v>448</v>
      </c>
      <c r="X3" t="s">
        <v>465</v>
      </c>
      <c r="Y3" t="s">
        <v>450</v>
      </c>
      <c r="Z3" t="s">
        <v>477</v>
      </c>
    </row>
    <row r="4" spans="1:35" x14ac:dyDescent="0.35">
      <c r="A4" s="8" t="s">
        <v>15</v>
      </c>
      <c r="B4" s="27">
        <v>3039.65</v>
      </c>
      <c r="C4" s="26">
        <v>2.924474221171447</v>
      </c>
      <c r="D4" s="27">
        <v>10364.459999999999</v>
      </c>
      <c r="E4" s="27">
        <v>2331.08</v>
      </c>
      <c r="G4" s="8" t="s">
        <v>451</v>
      </c>
      <c r="H4" s="27">
        <v>891.16</v>
      </c>
      <c r="I4" s="27">
        <v>302.51</v>
      </c>
      <c r="L4" s="8" t="s">
        <v>13</v>
      </c>
      <c r="M4" s="27">
        <v>75839.230000000025</v>
      </c>
      <c r="N4" s="27">
        <v>18162.05</v>
      </c>
      <c r="S4" s="8" t="s">
        <v>14</v>
      </c>
      <c r="T4" s="27">
        <v>4871.12</v>
      </c>
      <c r="W4" s="8" t="s">
        <v>131</v>
      </c>
      <c r="X4" s="27">
        <v>1107.8800000000001</v>
      </c>
      <c r="Y4" s="27">
        <v>2851.73</v>
      </c>
      <c r="Z4" s="27">
        <v>7</v>
      </c>
    </row>
    <row r="5" spans="1:35" x14ac:dyDescent="0.35">
      <c r="A5" s="8" t="s">
        <v>449</v>
      </c>
      <c r="B5" s="27">
        <v>3039.65</v>
      </c>
      <c r="C5" s="26">
        <v>2.924474221171447</v>
      </c>
      <c r="D5" s="27">
        <v>10364.459999999999</v>
      </c>
      <c r="E5" s="27">
        <v>2331.08</v>
      </c>
      <c r="G5" s="8" t="s">
        <v>452</v>
      </c>
      <c r="H5" s="27">
        <v>11872.4</v>
      </c>
      <c r="I5" s="27">
        <v>3477.8399999999997</v>
      </c>
      <c r="L5" s="8" t="s">
        <v>449</v>
      </c>
      <c r="M5" s="27">
        <v>75839.230000000025</v>
      </c>
      <c r="N5" s="27">
        <v>18162.05</v>
      </c>
      <c r="S5" s="8" t="s">
        <v>27</v>
      </c>
      <c r="T5" s="27">
        <v>8613.3799999999992</v>
      </c>
      <c r="W5" s="8" t="s">
        <v>194</v>
      </c>
      <c r="X5" s="27">
        <v>1134.1600000000003</v>
      </c>
      <c r="Y5" s="27">
        <v>4024.8</v>
      </c>
      <c r="Z5" s="27">
        <v>10</v>
      </c>
    </row>
    <row r="6" spans="1:35" x14ac:dyDescent="0.35">
      <c r="G6" s="8" t="s">
        <v>453</v>
      </c>
      <c r="H6" s="27">
        <v>3486.8300000000004</v>
      </c>
      <c r="I6" s="27">
        <v>624.97000000000014</v>
      </c>
      <c r="S6" s="8" t="s">
        <v>23</v>
      </c>
      <c r="T6" s="27">
        <v>5239.8599999999997</v>
      </c>
      <c r="W6" s="8" t="s">
        <v>165</v>
      </c>
      <c r="X6" s="27">
        <v>1020.4899999999996</v>
      </c>
      <c r="Y6" s="27">
        <v>2578.3999999999996</v>
      </c>
      <c r="Z6" s="27">
        <v>10</v>
      </c>
    </row>
    <row r="7" spans="1:35" x14ac:dyDescent="0.35">
      <c r="G7" s="8" t="s">
        <v>454</v>
      </c>
      <c r="H7" s="27">
        <v>1140.0900000000001</v>
      </c>
      <c r="I7" s="27">
        <v>315.91000000000008</v>
      </c>
      <c r="S7" s="8" t="s">
        <v>37</v>
      </c>
      <c r="T7" s="27">
        <v>4310.83</v>
      </c>
      <c r="W7" s="8" t="s">
        <v>54</v>
      </c>
      <c r="X7" s="27">
        <v>1171.1999999999998</v>
      </c>
      <c r="Y7" s="27">
        <v>3231.72</v>
      </c>
      <c r="Z7" s="27">
        <v>9</v>
      </c>
    </row>
    <row r="8" spans="1:35" x14ac:dyDescent="0.35">
      <c r="G8" s="8" t="s">
        <v>455</v>
      </c>
      <c r="H8" s="27">
        <v>5741.92</v>
      </c>
      <c r="I8" s="27">
        <v>1269.4499999999994</v>
      </c>
      <c r="S8" s="8" t="s">
        <v>38</v>
      </c>
      <c r="T8" s="27">
        <v>3826.15</v>
      </c>
      <c r="W8" s="8" t="s">
        <v>449</v>
      </c>
      <c r="X8" s="27">
        <v>4433.7299999999996</v>
      </c>
      <c r="Y8" s="27">
        <v>12686.65</v>
      </c>
      <c r="Z8" s="27">
        <v>36</v>
      </c>
    </row>
    <row r="9" spans="1:35" x14ac:dyDescent="0.35">
      <c r="G9" s="8" t="s">
        <v>456</v>
      </c>
      <c r="H9" s="27">
        <v>4589.57</v>
      </c>
      <c r="I9" s="27">
        <v>1236.1999999999998</v>
      </c>
      <c r="S9" s="8" t="s">
        <v>21</v>
      </c>
      <c r="T9" s="27">
        <v>8264.2699999999986</v>
      </c>
    </row>
    <row r="10" spans="1:35" x14ac:dyDescent="0.35">
      <c r="G10" s="8" t="s">
        <v>457</v>
      </c>
      <c r="H10" s="27">
        <v>5103.32</v>
      </c>
      <c r="I10" s="27">
        <v>1011.3499999999999</v>
      </c>
      <c r="S10" s="8" t="s">
        <v>33</v>
      </c>
      <c r="T10" s="27">
        <v>5510.3000000000011</v>
      </c>
    </row>
    <row r="11" spans="1:35" x14ac:dyDescent="0.35">
      <c r="G11" s="8" t="s">
        <v>458</v>
      </c>
      <c r="H11" s="27">
        <v>6842.18</v>
      </c>
      <c r="I11" s="27">
        <v>1667.8700000000001</v>
      </c>
      <c r="S11" s="8" t="s">
        <v>31</v>
      </c>
      <c r="T11" s="27">
        <v>6170.1</v>
      </c>
    </row>
    <row r="12" spans="1:35" x14ac:dyDescent="0.35">
      <c r="G12" s="8" t="s">
        <v>459</v>
      </c>
      <c r="H12" s="27">
        <v>9985.9</v>
      </c>
      <c r="I12" s="27">
        <v>2304.91</v>
      </c>
      <c r="S12" s="8" t="s">
        <v>19</v>
      </c>
      <c r="T12" s="27">
        <v>7183.4499999999989</v>
      </c>
    </row>
    <row r="13" spans="1:35" x14ac:dyDescent="0.35">
      <c r="G13" s="8" t="s">
        <v>460</v>
      </c>
      <c r="H13" s="27">
        <v>5410.6899999999987</v>
      </c>
      <c r="I13" s="27">
        <v>1622.8799999999992</v>
      </c>
      <c r="S13" s="8" t="s">
        <v>34</v>
      </c>
      <c r="T13" s="27">
        <v>8380.2200000000012</v>
      </c>
    </row>
    <row r="14" spans="1:35" x14ac:dyDescent="0.35">
      <c r="G14" s="8" t="s">
        <v>461</v>
      </c>
      <c r="H14" s="27">
        <v>5224.1399999999994</v>
      </c>
      <c r="I14" s="27">
        <v>704.05000000000007</v>
      </c>
      <c r="S14" s="8" t="s">
        <v>449</v>
      </c>
      <c r="T14" s="27">
        <v>62369.68</v>
      </c>
      <c r="AC14" s="7" t="s">
        <v>448</v>
      </c>
      <c r="AD14" t="s">
        <v>493</v>
      </c>
      <c r="AH14" s="7" t="s">
        <v>448</v>
      </c>
      <c r="AI14" t="s">
        <v>465</v>
      </c>
    </row>
    <row r="15" spans="1:35" x14ac:dyDescent="0.35">
      <c r="G15" s="8" t="s">
        <v>462</v>
      </c>
      <c r="H15" s="27">
        <v>3332.75</v>
      </c>
      <c r="I15" s="27">
        <v>844.95999999999992</v>
      </c>
      <c r="AC15" s="8" t="s">
        <v>36</v>
      </c>
      <c r="AD15" s="30">
        <v>1</v>
      </c>
      <c r="AH15" s="8" t="s">
        <v>15</v>
      </c>
      <c r="AI15" s="29">
        <v>2331.08</v>
      </c>
    </row>
    <row r="16" spans="1:35" x14ac:dyDescent="0.35">
      <c r="G16" s="8" t="s">
        <v>463</v>
      </c>
      <c r="H16" s="27">
        <v>5697.23</v>
      </c>
      <c r="I16" s="27">
        <v>1527.7400000000002</v>
      </c>
      <c r="AC16" s="8" t="s">
        <v>12</v>
      </c>
      <c r="AD16" s="30">
        <v>3</v>
      </c>
      <c r="AH16" s="8" t="s">
        <v>22</v>
      </c>
      <c r="AI16" s="29">
        <v>3871.5000000000005</v>
      </c>
    </row>
    <row r="17" spans="7:35" x14ac:dyDescent="0.35">
      <c r="G17" s="8" t="s">
        <v>464</v>
      </c>
      <c r="H17" s="27">
        <v>6521.05</v>
      </c>
      <c r="I17" s="27">
        <v>1251.4099999999996</v>
      </c>
      <c r="AC17" s="8" t="s">
        <v>16</v>
      </c>
      <c r="AD17" s="30">
        <v>3</v>
      </c>
      <c r="AH17" s="8" t="s">
        <v>25</v>
      </c>
      <c r="AI17" s="29">
        <v>2455.5100000000002</v>
      </c>
    </row>
    <row r="18" spans="7:35" x14ac:dyDescent="0.35">
      <c r="G18" s="8" t="s">
        <v>449</v>
      </c>
      <c r="H18" s="27">
        <v>75839.23</v>
      </c>
      <c r="I18" s="27">
        <v>18162.049999999996</v>
      </c>
      <c r="AC18" s="8" t="s">
        <v>14</v>
      </c>
      <c r="AD18" s="30">
        <v>3</v>
      </c>
      <c r="AH18" s="8" t="s">
        <v>11</v>
      </c>
      <c r="AI18" s="29">
        <v>2800.9100000000003</v>
      </c>
    </row>
    <row r="19" spans="7:35" x14ac:dyDescent="0.35">
      <c r="AC19" s="8" t="s">
        <v>27</v>
      </c>
      <c r="AD19" s="30">
        <v>4</v>
      </c>
      <c r="AH19" s="8" t="s">
        <v>20</v>
      </c>
      <c r="AI19" s="29">
        <v>6703.0499999999993</v>
      </c>
    </row>
    <row r="20" spans="7:35" x14ac:dyDescent="0.35">
      <c r="AC20" s="8" t="s">
        <v>35</v>
      </c>
      <c r="AD20" s="30">
        <v>1</v>
      </c>
      <c r="AH20" s="8" t="s">
        <v>449</v>
      </c>
      <c r="AI20" s="29">
        <v>18162.05</v>
      </c>
    </row>
    <row r="21" spans="7:35" x14ac:dyDescent="0.35">
      <c r="AC21" s="8" t="s">
        <v>26</v>
      </c>
      <c r="AD21" s="30">
        <v>1</v>
      </c>
    </row>
    <row r="22" spans="7:35" x14ac:dyDescent="0.35">
      <c r="AC22" s="8" t="s">
        <v>28</v>
      </c>
      <c r="AD22" s="30">
        <v>1</v>
      </c>
    </row>
    <row r="23" spans="7:35" x14ac:dyDescent="0.35">
      <c r="AC23" s="8" t="s">
        <v>23</v>
      </c>
      <c r="AD23" s="30">
        <v>4</v>
      </c>
    </row>
    <row r="24" spans="7:35" x14ac:dyDescent="0.35">
      <c r="AC24" s="8" t="s">
        <v>37</v>
      </c>
      <c r="AD24" s="30">
        <v>4</v>
      </c>
    </row>
    <row r="25" spans="7:35" x14ac:dyDescent="0.35">
      <c r="AC25" s="8" t="s">
        <v>38</v>
      </c>
      <c r="AD25" s="30">
        <v>3</v>
      </c>
    </row>
    <row r="26" spans="7:35" x14ac:dyDescent="0.35">
      <c r="AC26" s="8" t="s">
        <v>32</v>
      </c>
      <c r="AD26" s="30">
        <v>2</v>
      </c>
    </row>
    <row r="27" spans="7:35" x14ac:dyDescent="0.35">
      <c r="AC27" s="8" t="s">
        <v>21</v>
      </c>
      <c r="AD27" s="30">
        <v>3</v>
      </c>
    </row>
    <row r="28" spans="7:35" x14ac:dyDescent="0.35">
      <c r="AC28" s="8" t="s">
        <v>29</v>
      </c>
      <c r="AD28" s="30">
        <v>2</v>
      </c>
    </row>
    <row r="29" spans="7:35" x14ac:dyDescent="0.35">
      <c r="AC29" s="8" t="s">
        <v>33</v>
      </c>
      <c r="AD29" s="30">
        <v>4</v>
      </c>
    </row>
    <row r="30" spans="7:35" x14ac:dyDescent="0.35">
      <c r="AC30" s="8" t="s">
        <v>30</v>
      </c>
      <c r="AD30" s="30">
        <v>3</v>
      </c>
    </row>
    <row r="31" spans="7:35" x14ac:dyDescent="0.35">
      <c r="AC31" s="8" t="s">
        <v>31</v>
      </c>
      <c r="AD31" s="30">
        <v>5</v>
      </c>
    </row>
    <row r="32" spans="7:35" x14ac:dyDescent="0.35">
      <c r="AC32" s="8" t="s">
        <v>19</v>
      </c>
      <c r="AD32" s="30">
        <v>5</v>
      </c>
    </row>
    <row r="33" spans="29:30" x14ac:dyDescent="0.35">
      <c r="AC33" s="8" t="s">
        <v>34</v>
      </c>
      <c r="AD33" s="30">
        <v>4</v>
      </c>
    </row>
    <row r="34" spans="29:30" x14ac:dyDescent="0.35">
      <c r="AC34" s="8" t="s">
        <v>18</v>
      </c>
      <c r="AD34" s="30">
        <v>1</v>
      </c>
    </row>
    <row r="35" spans="29:30" x14ac:dyDescent="0.35">
      <c r="AC35" s="8" t="s">
        <v>449</v>
      </c>
      <c r="AD35" s="30">
        <v>57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830E1-9D83-4A7A-AD73-C58C9AC36BE2}">
  <dimension ref="A1:E18"/>
  <sheetViews>
    <sheetView workbookViewId="0">
      <selection activeCell="A34" sqref="A34"/>
    </sheetView>
  </sheetViews>
  <sheetFormatPr defaultRowHeight="14.5" x14ac:dyDescent="0.35"/>
  <cols>
    <col min="1" max="1" width="12.36328125" bestFit="1" customWidth="1"/>
    <col min="2" max="2" width="23.54296875" bestFit="1" customWidth="1"/>
    <col min="3" max="3" width="21.1796875" bestFit="1" customWidth="1"/>
    <col min="4" max="4" width="16.26953125" bestFit="1" customWidth="1"/>
    <col min="5" max="5" width="21.1796875" bestFit="1" customWidth="1"/>
    <col min="7" max="7" width="17.54296875" bestFit="1" customWidth="1"/>
    <col min="8" max="8" width="17.81640625" bestFit="1" customWidth="1"/>
  </cols>
  <sheetData>
    <row r="1" spans="1:5" x14ac:dyDescent="0.35">
      <c r="A1" t="s">
        <v>483</v>
      </c>
      <c r="D1" t="s">
        <v>484</v>
      </c>
    </row>
    <row r="2" spans="1:5" x14ac:dyDescent="0.35">
      <c r="A2" t="s">
        <v>485</v>
      </c>
      <c r="D2" t="s">
        <v>486</v>
      </c>
    </row>
    <row r="3" spans="1:5" x14ac:dyDescent="0.35">
      <c r="A3" s="7" t="s">
        <v>448</v>
      </c>
      <c r="B3" t="s">
        <v>481</v>
      </c>
      <c r="D3" s="7" t="s">
        <v>448</v>
      </c>
      <c r="E3" t="s">
        <v>482</v>
      </c>
    </row>
    <row r="4" spans="1:5" x14ac:dyDescent="0.35">
      <c r="A4" s="8" t="s">
        <v>451</v>
      </c>
      <c r="B4" s="27">
        <v>3</v>
      </c>
      <c r="D4" s="8" t="s">
        <v>39</v>
      </c>
      <c r="E4" s="27">
        <v>787.76</v>
      </c>
    </row>
    <row r="5" spans="1:5" x14ac:dyDescent="0.35">
      <c r="A5" s="8" t="s">
        <v>452</v>
      </c>
      <c r="B5" s="27">
        <v>7</v>
      </c>
      <c r="D5" s="8" t="s">
        <v>449</v>
      </c>
      <c r="E5" s="27">
        <v>787.76</v>
      </c>
    </row>
    <row r="6" spans="1:5" x14ac:dyDescent="0.35">
      <c r="A6" s="8" t="s">
        <v>453</v>
      </c>
      <c r="B6" s="27">
        <v>1</v>
      </c>
    </row>
    <row r="7" spans="1:5" x14ac:dyDescent="0.35">
      <c r="A7" s="8" t="s">
        <v>454</v>
      </c>
      <c r="B7" s="27">
        <v>1</v>
      </c>
    </row>
    <row r="8" spans="1:5" x14ac:dyDescent="0.35">
      <c r="A8" s="8" t="s">
        <v>455</v>
      </c>
      <c r="B8" s="27">
        <v>2</v>
      </c>
    </row>
    <row r="9" spans="1:5" x14ac:dyDescent="0.35">
      <c r="A9" s="8" t="s">
        <v>456</v>
      </c>
      <c r="B9" s="27">
        <v>2</v>
      </c>
    </row>
    <row r="10" spans="1:5" x14ac:dyDescent="0.35">
      <c r="A10" s="8" t="s">
        <v>457</v>
      </c>
      <c r="B10" s="27">
        <v>1</v>
      </c>
    </row>
    <row r="11" spans="1:5" x14ac:dyDescent="0.35">
      <c r="A11" s="8" t="s">
        <v>458</v>
      </c>
      <c r="B11" s="27">
        <v>2</v>
      </c>
    </row>
    <row r="12" spans="1:5" x14ac:dyDescent="0.35">
      <c r="A12" s="8" t="s">
        <v>459</v>
      </c>
      <c r="B12" s="27">
        <v>4</v>
      </c>
    </row>
    <row r="13" spans="1:5" x14ac:dyDescent="0.35">
      <c r="A13" s="8" t="s">
        <v>460</v>
      </c>
      <c r="B13" s="27">
        <v>2</v>
      </c>
    </row>
    <row r="14" spans="1:5" x14ac:dyDescent="0.35">
      <c r="A14" s="8" t="s">
        <v>461</v>
      </c>
      <c r="B14" s="27">
        <v>8</v>
      </c>
    </row>
    <row r="15" spans="1:5" x14ac:dyDescent="0.35">
      <c r="A15" s="8" t="s">
        <v>462</v>
      </c>
      <c r="B15" s="27">
        <v>9</v>
      </c>
    </row>
    <row r="16" spans="1:5" x14ac:dyDescent="0.35">
      <c r="A16" s="8" t="s">
        <v>463</v>
      </c>
      <c r="B16" s="27">
        <v>7</v>
      </c>
    </row>
    <row r="17" spans="1:2" x14ac:dyDescent="0.35">
      <c r="A17" s="8" t="s">
        <v>464</v>
      </c>
      <c r="B17" s="27">
        <v>3</v>
      </c>
    </row>
    <row r="18" spans="1:2" x14ac:dyDescent="0.35">
      <c r="A18" s="8" t="s">
        <v>449</v>
      </c>
      <c r="B18" s="27">
        <v>52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06CD5-5C95-47A6-BF4E-523161CB6ED6}">
  <dimension ref="U6:U7"/>
  <sheetViews>
    <sheetView showGridLines="0" tabSelected="1" zoomScale="55" zoomScaleNormal="55" workbookViewId="0">
      <selection activeCell="F52" sqref="F52"/>
    </sheetView>
  </sheetViews>
  <sheetFormatPr defaultRowHeight="14.5" x14ac:dyDescent="0.35"/>
  <sheetData>
    <row r="6" spans="21:21" x14ac:dyDescent="0.35">
      <c r="U6" s="28"/>
    </row>
    <row r="7" spans="21:21" ht="1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16D791-4A4F-4A6C-92CC-0CDD0917A1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Pivot Sales</vt:lpstr>
      <vt:lpstr>Pivot Return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Duraikannan S</cp:lastModifiedBy>
  <cp:lastPrinted>2025-11-06T17:29:18Z</cp:lastPrinted>
  <dcterms:created xsi:type="dcterms:W3CDTF">2025-07-22T16:52:57Z</dcterms:created>
  <dcterms:modified xsi:type="dcterms:W3CDTF">2025-11-09T15:41:03Z</dcterms:modified>
</cp:coreProperties>
</file>